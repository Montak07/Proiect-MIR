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2" activeTab="2" autoFilterDateGrouping="1"/>
  </bookViews>
  <sheets>
    <sheet xmlns:r="http://schemas.openxmlformats.org/officeDocument/2006/relationships" name="Instructiuni" sheetId="1" state="visible" r:id="rId1"/>
    <sheet xmlns:r="http://schemas.openxmlformats.org/officeDocument/2006/relationships" name="Info Companie" sheetId="2" state="visible" r:id="rId2"/>
    <sheet xmlns:r="http://schemas.openxmlformats.org/officeDocument/2006/relationships" name="Unitati Ambalaj" sheetId="3" state="visible" r:id="rId3"/>
    <sheet xmlns:r="http://schemas.openxmlformats.org/officeDocument/2006/relationships" name="Fisa Unitate (Template)" sheetId="4" state="visible" r:id="rId4"/>
    <sheet xmlns:r="http://schemas.openxmlformats.org/officeDocument/2006/relationships" name="Unitate 1" sheetId="5" state="visible" r:id="rId5"/>
    <sheet xmlns:r="http://schemas.openxmlformats.org/officeDocument/2006/relationships" name="Unitate 2" sheetId="6" state="visible" r:id="rId6"/>
  </sheets>
  <definedNames/>
  <calcPr calcId="191029" fullCalcOnLoad="1" iterateDelta="0.0001"/>
</workbook>
</file>

<file path=xl/styles.xml><?xml version="1.0" encoding="utf-8"?>
<styleSheet xmlns="http://schemas.openxmlformats.org/spreadsheetml/2006/main">
  <numFmts count="3">
    <numFmt numFmtId="164" formatCode="0.0%"/>
    <numFmt numFmtId="165" formatCode="#,##0.0;\-#,##0.0;"/>
    <numFmt numFmtId="166" formatCode="#,##0.0"/>
  </numFmts>
  <fonts count="22">
    <font>
      <name val="Calibri"/>
      <charset val="1"/>
      <family val="2"/>
      <color theme="1"/>
      <sz val="11"/>
    </font>
    <font>
      <name val="Arial"/>
      <sz val="10"/>
    </font>
    <font>
      <name val="Arial"/>
      <charset val="1"/>
      <b val="1"/>
      <color rgb="FFFFFFFF"/>
      <sz val="16"/>
    </font>
    <font>
      <name val="Arial"/>
      <charset val="1"/>
      <b val="1"/>
      <color rgb="FF1F3864"/>
      <sz val="11"/>
    </font>
    <font>
      <name val="Arial"/>
      <charset val="1"/>
      <sz val="10"/>
    </font>
    <font>
      <name val="Arial"/>
      <charset val="1"/>
      <b val="1"/>
      <sz val="10"/>
    </font>
    <font>
      <name val="Arial"/>
      <charset val="1"/>
      <i val="1"/>
      <color rgb="FF808080"/>
      <sz val="9"/>
    </font>
    <font>
      <name val="Arial"/>
      <charset val="1"/>
      <i val="1"/>
      <color rgb="FF808080"/>
      <sz val="10"/>
    </font>
    <font>
      <name val="Arial"/>
      <charset val="1"/>
      <b val="1"/>
      <color rgb="FFFFFFFF"/>
      <sz val="10"/>
    </font>
    <font>
      <name val="Arial"/>
      <charset val="1"/>
      <color rgb="FF375623"/>
      <sz val="10"/>
    </font>
    <font>
      <name val="Arial"/>
      <charset val="1"/>
      <b val="1"/>
      <color rgb="FF375623"/>
      <sz val="10"/>
    </font>
    <font>
      <name val="Arial"/>
      <color theme="1"/>
      <sz val="10"/>
    </font>
    <font>
      <name val="Arial"/>
      <b val="1"/>
      <color theme="1"/>
      <sz val="10"/>
    </font>
    <font>
      <name val="Arial"/>
      <b val="1"/>
      <color rgb="FFFFFFFF"/>
      <sz val="16"/>
    </font>
    <font>
      <name val="Arial"/>
      <i val="1"/>
      <color rgb="FF595959"/>
      <sz val="10"/>
    </font>
    <font>
      <name val="Arial"/>
      <b val="1"/>
      <color rgb="FF1F3864"/>
      <sz val="11"/>
    </font>
    <font>
      <name val="Arial"/>
      <b val="1"/>
      <i val="1"/>
      <color rgb="FF808080"/>
      <sz val="10"/>
    </font>
    <font>
      <name val="Arial"/>
      <i val="1"/>
      <color rgb="FF808080"/>
      <sz val="10"/>
    </font>
    <font>
      <name val="Arial"/>
      <color rgb="FF375623"/>
      <sz val="10"/>
    </font>
    <font>
      <name val="Arial"/>
      <b val="1"/>
      <color rgb="FFFFFFFF"/>
      <sz val="10"/>
    </font>
    <font>
      <name val="Arial"/>
      <b val="1"/>
      <color rgb="FF375623"/>
      <sz val="10"/>
    </font>
    <font>
      <name val="Calibri"/>
      <charset val="1"/>
      <family val="2"/>
      <i val="1"/>
      <color rgb="FF808080"/>
      <sz val="11"/>
    </font>
  </fonts>
  <fills count="15">
    <fill>
      <patternFill/>
    </fill>
    <fill>
      <patternFill patternType="gray125"/>
    </fill>
    <fill>
      <patternFill patternType="solid">
        <fgColor rgb="FF1F3864"/>
        <bgColor rgb="FF333399"/>
      </patternFill>
    </fill>
    <fill>
      <patternFill patternType="solid">
        <fgColor rgb="FFD9E2F3"/>
        <bgColor rgb="FFE2EFDA"/>
      </patternFill>
    </fill>
    <fill>
      <patternFill patternType="solid">
        <fgColor rgb="FFFFF2CC"/>
        <bgColor rgb="FFF2F2F2"/>
      </patternFill>
    </fill>
    <fill>
      <patternFill patternType="solid">
        <fgColor rgb="FFE2EFDA"/>
        <bgColor rgb="FFF2F2F2"/>
      </patternFill>
    </fill>
    <fill>
      <patternFill patternType="solid">
        <fgColor rgb="FFC6E0B4"/>
        <bgColor rgb="FFE2EFDA"/>
      </patternFill>
    </fill>
    <fill>
      <patternFill patternType="solid">
        <fgColor rgb="FFF2F2F2"/>
        <bgColor rgb="FFE2EFDA"/>
      </patternFill>
    </fill>
    <fill>
      <patternFill patternType="solid">
        <fgColor rgb="FF1F3864"/>
        <bgColor indexed="64"/>
      </patternFill>
    </fill>
    <fill>
      <patternFill patternType="solid">
        <fgColor rgb="FFD9E2F3"/>
        <bgColor indexed="64"/>
      </patternFill>
    </fill>
    <fill>
      <patternFill patternType="solid">
        <fgColor rgb="FFF2F2F2"/>
        <bgColor indexed="64"/>
      </patternFill>
    </fill>
    <fill>
      <patternFill patternType="solid">
        <fgColor rgb="FFFFF2CC"/>
        <bgColor indexed="64"/>
      </patternFill>
    </fill>
    <fill>
      <patternFill patternType="solid">
        <fgColor rgb="FFE2EFDA"/>
        <bgColor indexed="64"/>
      </patternFill>
    </fill>
    <fill>
      <patternFill patternType="solid">
        <fgColor rgb="FFC6E0B4"/>
        <bgColor indexed="64"/>
      </patternFill>
    </fill>
    <fill>
      <patternFill patternType="solid">
        <fgColor rgb="FFFFFFFF"/>
        <bgColor indexed="64"/>
      </patternFill>
    </fill>
  </fills>
  <borders count="17">
    <border>
      <left/>
      <right/>
      <top/>
      <bottom/>
      <diagonal/>
    </border>
    <border>
      <left style="thin">
        <color rgb="FFB7B7B7"/>
      </left>
      <right style="thin">
        <color rgb="FFB7B7B7"/>
      </right>
      <top style="thin">
        <color rgb="FFB7B7B7"/>
      </top>
      <bottom style="thin">
        <color rgb="FFB7B7B7"/>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right/>
      <top/>
      <bottom style="thin">
        <color rgb="FFB7B7B7"/>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style="thin">
        <color rgb="FFB7B7B7"/>
      </right>
      <top/>
      <bottom style="thin">
        <color rgb="FFB7B7B7"/>
      </bottom>
      <diagonal/>
    </border>
    <border>
      <left style="thin">
        <color rgb="FFB7B7B7"/>
      </left>
      <right style="thin">
        <color rgb="FFB7B7B7"/>
      </right>
      <top style="thin">
        <color rgb="FFB7B7B7"/>
      </top>
      <bottom/>
      <diagonal/>
    </border>
  </borders>
  <cellStyleXfs count="1">
    <xf numFmtId="0" fontId="0" fillId="0" borderId="0"/>
  </cellStyleXfs>
  <cellXfs count="165">
    <xf numFmtId="0" fontId="0" fillId="0" borderId="0" pivotButton="0" quotePrefix="0" xfId="0"/>
    <xf numFmtId="0" fontId="6" fillId="0" borderId="0" applyAlignment="1" pivotButton="0" quotePrefix="0" xfId="0">
      <alignment vertical="top" wrapText="1"/>
    </xf>
    <xf numFmtId="0" fontId="5" fillId="0" borderId="1" applyAlignment="1" pivotButton="0" quotePrefix="0" xfId="0">
      <alignment horizontal="left" vertical="top" wrapText="1"/>
    </xf>
    <xf numFmtId="0" fontId="8" fillId="2" borderId="1" applyAlignment="1" pivotButton="0" quotePrefix="0" xfId="0">
      <alignment horizontal="center" vertical="center" wrapText="1"/>
    </xf>
    <xf numFmtId="0" fontId="11" fillId="0" borderId="0" applyAlignment="1" pivotButton="0" quotePrefix="0" xfId="0">
      <alignment vertical="top" wrapText="1"/>
    </xf>
    <xf numFmtId="0" fontId="13" fillId="8" borderId="0" applyAlignment="1" pivotButton="0" quotePrefix="0" xfId="0">
      <alignment vertical="center"/>
    </xf>
    <xf numFmtId="0" fontId="11" fillId="8" borderId="0" applyAlignment="1" pivotButton="0" quotePrefix="0" xfId="0">
      <alignment vertical="center" wrapText="1"/>
    </xf>
    <xf numFmtId="0" fontId="14" fillId="0" borderId="0" applyAlignment="1" pivotButton="0" quotePrefix="0" xfId="0">
      <alignment vertical="top"/>
    </xf>
    <xf numFmtId="0" fontId="15" fillId="9" borderId="0" applyAlignment="1" pivotButton="0" quotePrefix="0" xfId="0">
      <alignment vertical="center"/>
    </xf>
    <xf numFmtId="0" fontId="11" fillId="9" borderId="0" applyAlignment="1" pivotButton="0" quotePrefix="0" xfId="0">
      <alignment vertical="center" wrapText="1"/>
    </xf>
    <xf numFmtId="0" fontId="12" fillId="0" borderId="2" applyAlignment="1" pivotButton="0" quotePrefix="0" xfId="0">
      <alignment vertical="top" wrapText="1"/>
    </xf>
    <xf numFmtId="0" fontId="11" fillId="0" borderId="2" applyAlignment="1" pivotButton="0" quotePrefix="0" xfId="0">
      <alignment vertical="top" wrapText="1"/>
    </xf>
    <xf numFmtId="0" fontId="12" fillId="0" borderId="0" applyAlignment="1" pivotButton="0" quotePrefix="0" xfId="0">
      <alignment vertical="top" wrapText="1"/>
    </xf>
    <xf numFmtId="0" fontId="12" fillId="0" borderId="3" applyAlignment="1" pivotButton="0" quotePrefix="0" xfId="0">
      <alignment vertical="top" wrapText="1"/>
    </xf>
    <xf numFmtId="0" fontId="11" fillId="0" borderId="3" applyAlignment="1" pivotButton="0" quotePrefix="0" xfId="0">
      <alignment vertical="top" wrapText="1"/>
    </xf>
    <xf numFmtId="0" fontId="12" fillId="0" borderId="4" applyAlignment="1" pivotButton="0" quotePrefix="0" xfId="0">
      <alignment vertical="top" wrapText="1"/>
    </xf>
    <xf numFmtId="0" fontId="11" fillId="0" borderId="4" applyAlignment="1" pivotButton="0" quotePrefix="0" xfId="0">
      <alignment vertical="top" wrapText="1"/>
    </xf>
    <xf numFmtId="0" fontId="12" fillId="10" borderId="3" applyAlignment="1" pivotButton="0" quotePrefix="0" xfId="0">
      <alignment vertical="top" wrapText="1"/>
    </xf>
    <xf numFmtId="0" fontId="11" fillId="10" borderId="3" applyAlignment="1" pivotButton="0" quotePrefix="0" xfId="0">
      <alignment vertical="top" wrapText="1"/>
    </xf>
    <xf numFmtId="0" fontId="12" fillId="11" borderId="0" applyAlignment="1" pivotButton="0" quotePrefix="0" xfId="0">
      <alignment vertical="top" wrapText="1"/>
    </xf>
    <xf numFmtId="0" fontId="12" fillId="12" borderId="4" applyAlignment="1" pivotButton="0" quotePrefix="0" xfId="0">
      <alignment vertical="top" wrapText="1"/>
    </xf>
    <xf numFmtId="0" fontId="12" fillId="13" borderId="4" applyAlignment="1" pivotButton="0" quotePrefix="0" xfId="0">
      <alignment vertical="top" wrapText="1"/>
    </xf>
    <xf numFmtId="0" fontId="16" fillId="0" borderId="3" applyAlignment="1" pivotButton="0" quotePrefix="0" xfId="0">
      <alignment vertical="top" wrapText="1"/>
    </xf>
    <xf numFmtId="0" fontId="17" fillId="0" borderId="3" applyAlignment="1" pivotButton="0" quotePrefix="0" xfId="0">
      <alignment vertical="top" wrapText="1"/>
    </xf>
    <xf numFmtId="0" fontId="17" fillId="4" borderId="1" applyAlignment="1" pivotButton="0" quotePrefix="0" xfId="0">
      <alignment horizontal="center" vertical="center" wrapText="1"/>
    </xf>
    <xf numFmtId="164" fontId="18" fillId="5" borderId="1" applyAlignment="1" pivotButton="0" quotePrefix="0" xfId="0">
      <alignment horizontal="center" vertical="center" wrapText="1"/>
    </xf>
    <xf numFmtId="0" fontId="18" fillId="5" borderId="1" applyAlignment="1" pivotButton="0" quotePrefix="0" xfId="0">
      <alignment horizontal="center" vertical="center" wrapText="1"/>
    </xf>
    <xf numFmtId="0" fontId="11" fillId="4" borderId="1" applyAlignment="1" pivotButton="0" quotePrefix="0" xfId="0">
      <alignment horizontal="center" vertical="center" wrapText="1"/>
    </xf>
    <xf numFmtId="0" fontId="1" fillId="4" borderId="1" applyAlignment="1" pivotButton="0" quotePrefix="0" xfId="0">
      <alignment horizontal="center" vertical="center" wrapText="1"/>
    </xf>
    <xf numFmtId="0" fontId="17" fillId="7" borderId="1" applyAlignment="1" pivotButton="0" quotePrefix="0" xfId="0">
      <alignment horizontal="left" vertical="center" wrapText="1"/>
    </xf>
    <xf numFmtId="0" fontId="1" fillId="4" borderId="1" applyAlignment="1" pivotButton="0" quotePrefix="0" xfId="0">
      <alignment horizontal="left" vertical="center" wrapText="1"/>
    </xf>
    <xf numFmtId="0" fontId="11" fillId="4" borderId="1" applyAlignment="1" pivotButton="0" quotePrefix="0" xfId="0">
      <alignment horizontal="left" vertical="center" wrapText="1"/>
    </xf>
    <xf numFmtId="165" fontId="18" fillId="5" borderId="1" applyAlignment="1" pivotButton="0" quotePrefix="0" xfId="0">
      <alignment horizontal="center" vertical="center" wrapText="1"/>
    </xf>
    <xf numFmtId="0" fontId="2" fillId="8" borderId="0" applyAlignment="1" pivotButton="0" quotePrefix="0" xfId="0">
      <alignment horizontal="left" vertical="center" indent="1"/>
    </xf>
    <xf numFmtId="0" fontId="0" fillId="8" borderId="0" pivotButton="0" quotePrefix="0" xfId="0"/>
    <xf numFmtId="0" fontId="3" fillId="9" borderId="0" applyAlignment="1" pivotButton="0" quotePrefix="0" xfId="0">
      <alignment horizontal="left" vertical="center" indent="1"/>
    </xf>
    <xf numFmtId="0" fontId="0" fillId="9" borderId="0" pivotButton="0" quotePrefix="0" xfId="0"/>
    <xf numFmtId="0" fontId="8" fillId="2" borderId="5" applyAlignment="1" pivotButton="0" quotePrefix="0" xfId="0">
      <alignment horizontal="center" vertical="center" wrapText="1"/>
    </xf>
    <xf numFmtId="166" fontId="9" fillId="5" borderId="1" applyAlignment="1" pivotButton="0" quotePrefix="0" xfId="0">
      <alignment horizontal="center" vertical="center"/>
    </xf>
    <xf numFmtId="166" fontId="10" fillId="6" borderId="1" applyAlignment="1" pivotButton="0" quotePrefix="0" xfId="0">
      <alignment horizontal="center" vertical="center"/>
    </xf>
    <xf numFmtId="0" fontId="10" fillId="14" borderId="1" applyAlignment="1" pivotButton="0" quotePrefix="0" xfId="0">
      <alignment horizontal="center" vertical="center"/>
    </xf>
    <xf numFmtId="164" fontId="10" fillId="6" borderId="1" applyAlignment="1" pivotButton="0" quotePrefix="0" xfId="0">
      <alignment horizontal="center" vertical="center"/>
    </xf>
    <xf numFmtId="0" fontId="4" fillId="4" borderId="1" applyAlignment="1" applyProtection="1" pivotButton="0" quotePrefix="0" xfId="0">
      <alignment horizontal="left" vertical="top" wrapText="1"/>
      <protection locked="0" hidden="0"/>
    </xf>
    <xf numFmtId="0" fontId="4" fillId="4" borderId="1" applyAlignment="1" applyProtection="1" pivotButton="0" quotePrefix="0" xfId="0">
      <alignment vertical="top" wrapText="1"/>
      <protection locked="0" hidden="0"/>
    </xf>
    <xf numFmtId="0" fontId="4" fillId="4" borderId="1" applyAlignment="1" applyProtection="1" pivotButton="0" quotePrefix="0" xfId="0">
      <alignment horizontal="center" vertical="center"/>
      <protection locked="0" hidden="0"/>
    </xf>
    <xf numFmtId="9" fontId="4" fillId="4" borderId="1" applyAlignment="1" applyProtection="1" pivotButton="0" quotePrefix="0" xfId="0">
      <alignment horizontal="center" vertical="center"/>
      <protection locked="0" hidden="0"/>
    </xf>
    <xf numFmtId="0" fontId="7" fillId="7" borderId="1" applyAlignment="1" applyProtection="1" pivotButton="0" quotePrefix="0" xfId="0">
      <alignment horizontal="left" vertical="top" wrapText="1"/>
      <protection locked="0" hidden="0"/>
    </xf>
    <xf numFmtId="0" fontId="7" fillId="7" borderId="1" applyAlignment="1" applyProtection="1" pivotButton="0" quotePrefix="0" xfId="0">
      <alignment vertical="top" wrapText="1"/>
      <protection locked="0" hidden="0"/>
    </xf>
    <xf numFmtId="0" fontId="7" fillId="7" borderId="1" applyAlignment="1" applyProtection="1" pivotButton="0" quotePrefix="0" xfId="0">
      <alignment horizontal="center" vertical="center"/>
      <protection locked="0" hidden="0"/>
    </xf>
    <xf numFmtId="9" fontId="7" fillId="7" borderId="1" applyAlignment="1" applyProtection="1" pivotButton="0" quotePrefix="0" xfId="0">
      <alignment horizontal="center" vertical="center"/>
      <protection locked="0" hidden="0"/>
    </xf>
    <xf numFmtId="0" fontId="8" fillId="0" borderId="0" applyAlignment="1" pivotButton="0" quotePrefix="0" xfId="0">
      <alignment horizontal="center" vertical="center" wrapText="1"/>
    </xf>
    <xf numFmtId="0" fontId="0" fillId="14" borderId="0" pivotButton="0" quotePrefix="0" xfId="0"/>
    <xf numFmtId="0" fontId="5" fillId="0" borderId="5" applyAlignment="1" pivotButton="0" quotePrefix="0" xfId="0">
      <alignment horizontal="left" vertical="center" wrapText="1"/>
    </xf>
    <xf numFmtId="0" fontId="4" fillId="4" borderId="5" applyAlignment="1" applyProtection="1" pivotButton="0" quotePrefix="0" xfId="0">
      <alignment horizontal="left" vertical="top" wrapText="1"/>
      <protection locked="0" hidden="0"/>
    </xf>
    <xf numFmtId="0" fontId="5" fillId="0" borderId="5" applyAlignment="1" pivotButton="0" quotePrefix="0" xfId="0">
      <alignment horizontal="left" vertical="top" wrapText="1"/>
    </xf>
    <xf numFmtId="0" fontId="0" fillId="0" borderId="0" applyAlignment="1" pivotButton="0" quotePrefix="0" xfId="0">
      <alignment vertical="center" wrapText="1"/>
    </xf>
    <xf numFmtId="0" fontId="7" fillId="7" borderId="5" applyAlignment="1" applyProtection="1" pivotButton="0" quotePrefix="0" xfId="0">
      <alignment horizontal="left" vertical="top" wrapText="1"/>
      <protection locked="0" hidden="0"/>
    </xf>
    <xf numFmtId="0" fontId="7" fillId="0" borderId="0" applyAlignment="1" pivotButton="0" quotePrefix="0" xfId="0">
      <alignment horizontal="left" vertical="center" wrapText="1"/>
    </xf>
    <xf numFmtId="0" fontId="7" fillId="0" borderId="0" applyAlignment="1" pivotButton="0" quotePrefix="0" xfId="0">
      <alignment vertical="center" wrapText="1"/>
    </xf>
    <xf numFmtId="0" fontId="4" fillId="4" borderId="5" applyAlignment="1" applyProtection="1" pivotButton="0" quotePrefix="0" xfId="0">
      <alignment horizontal="left" vertical="center" wrapText="1"/>
      <protection locked="0" hidden="0"/>
    </xf>
    <xf numFmtId="0" fontId="10" fillId="14" borderId="5" applyAlignment="1" pivotButton="0" quotePrefix="0" xfId="0">
      <alignment horizontal="center" vertical="center"/>
    </xf>
    <xf numFmtId="0" fontId="10" fillId="0" borderId="0" applyAlignment="1" pivotButton="0" quotePrefix="0" xfId="0">
      <alignment horizontal="center" vertical="center"/>
    </xf>
    <xf numFmtId="0" fontId="7" fillId="7" borderId="5" applyAlignment="1" applyProtection="1" pivotButton="0" quotePrefix="0" xfId="0">
      <alignment horizontal="left" vertical="center" wrapText="1"/>
      <protection locked="0" hidden="0"/>
    </xf>
    <xf numFmtId="0" fontId="3" fillId="14" borderId="0" applyAlignment="1" pivotButton="0" quotePrefix="0" xfId="0">
      <alignment horizontal="left" vertical="center" indent="1"/>
    </xf>
    <xf numFmtId="0" fontId="4" fillId="4" borderId="16" applyAlignment="1" applyProtection="1" pivotButton="0" quotePrefix="0" xfId="0">
      <alignment horizontal="left" vertical="top" wrapText="1"/>
      <protection locked="0" hidden="0"/>
    </xf>
    <xf numFmtId="0" fontId="20" fillId="13" borderId="1" applyAlignment="1" pivotButton="0" quotePrefix="0" xfId="0">
      <alignment vertical="center" wrapText="1"/>
    </xf>
    <xf numFmtId="3" fontId="20" fillId="13" borderId="1" applyAlignment="1" pivotButton="0" quotePrefix="0" xfId="0">
      <alignment horizontal="center" vertical="center"/>
    </xf>
    <xf numFmtId="3" fontId="4" fillId="4" borderId="5" applyAlignment="1" applyProtection="1" pivotButton="0" quotePrefix="0" xfId="0">
      <alignment horizontal="left" vertical="top" wrapText="1"/>
      <protection locked="0" hidden="0"/>
    </xf>
    <xf numFmtId="3" fontId="4" fillId="4" borderId="9" applyAlignment="1" applyProtection="1" pivotButton="0" quotePrefix="0" xfId="0">
      <alignment horizontal="left" vertical="top" wrapText="1"/>
      <protection locked="0" hidden="0"/>
    </xf>
    <xf numFmtId="4" fontId="4" fillId="4" borderId="1" applyAlignment="1" applyProtection="1" pivotButton="0" quotePrefix="0" xfId="0">
      <alignment horizontal="center" vertical="center"/>
      <protection locked="0" hidden="0"/>
    </xf>
    <xf numFmtId="0" fontId="0" fillId="0" borderId="0" applyAlignment="1" pivotButton="0" quotePrefix="0" xfId="0">
      <alignment vertical="center"/>
    </xf>
    <xf numFmtId="3" fontId="7" fillId="7" borderId="5" applyAlignment="1" applyProtection="1" pivotButton="0" quotePrefix="0" xfId="0">
      <alignment horizontal="left" vertical="top" wrapText="1"/>
      <protection locked="0" hidden="0"/>
    </xf>
    <xf numFmtId="4" fontId="7" fillId="7" borderId="1" applyAlignment="1" applyProtection="1" pivotButton="0" quotePrefix="0" xfId="0">
      <alignment horizontal="center" vertical="center"/>
      <protection locked="0" hidden="0"/>
    </xf>
    <xf numFmtId="0" fontId="19" fillId="8" borderId="1" applyAlignment="1" pivotButton="0" quotePrefix="0" xfId="0">
      <alignment horizontal="center" vertical="center"/>
    </xf>
    <xf numFmtId="0" fontId="12" fillId="0" borderId="1" applyAlignment="1" pivotButton="0" quotePrefix="0" xfId="0">
      <alignment horizontal="left" vertical="center"/>
    </xf>
    <xf numFmtId="0" fontId="18" fillId="12" borderId="1" applyAlignment="1" pivotButton="0" quotePrefix="0" xfId="0">
      <alignment horizontal="center" vertical="center"/>
    </xf>
    <xf numFmtId="0" fontId="19" fillId="8" borderId="1" applyAlignment="1" pivotButton="0" quotePrefix="0" xfId="0">
      <alignment horizontal="left" vertical="center"/>
    </xf>
    <xf numFmtId="0" fontId="7" fillId="4" borderId="1" applyAlignment="1" pivotButton="0" quotePrefix="0" xfId="0">
      <alignment horizontal="left" vertical="top" wrapText="1"/>
    </xf>
    <xf numFmtId="0" fontId="7" fillId="4" borderId="5" applyAlignment="1" pivotButton="0" quotePrefix="0" xfId="0">
      <alignment horizontal="left" vertical="top" wrapText="1"/>
    </xf>
    <xf numFmtId="0" fontId="7" fillId="4" borderId="6" applyAlignment="1" pivotButton="0" quotePrefix="0" xfId="0">
      <alignment horizontal="left" vertical="top" wrapText="1"/>
    </xf>
    <xf numFmtId="0" fontId="3" fillId="3" borderId="0" applyAlignment="1" pivotButton="0" quotePrefix="0" xfId="0">
      <alignment horizontal="left" vertical="center" indent="1"/>
    </xf>
    <xf numFmtId="0" fontId="2" fillId="2" borderId="0" applyAlignment="1" pivotButton="0" quotePrefix="0" xfId="0">
      <alignment horizontal="left" vertical="center" indent="1"/>
    </xf>
    <xf numFmtId="0" fontId="6" fillId="0" borderId="0" applyAlignment="1" pivotButton="0" quotePrefix="0" xfId="0">
      <alignment vertical="top" wrapText="1"/>
    </xf>
    <xf numFmtId="0" fontId="0" fillId="11" borderId="5" applyAlignment="1" applyProtection="1" pivotButton="0" quotePrefix="0" xfId="0">
      <alignment vertical="center"/>
      <protection locked="0" hidden="0"/>
    </xf>
    <xf numFmtId="0" fontId="0" fillId="11" borderId="7" applyAlignment="1" applyProtection="1" pivotButton="0" quotePrefix="0" xfId="0">
      <alignment vertical="center"/>
      <protection locked="0" hidden="0"/>
    </xf>
    <xf numFmtId="0" fontId="0" fillId="11" borderId="6" applyAlignment="1" applyProtection="1" pivotButton="0" quotePrefix="0" xfId="0">
      <alignment vertical="center"/>
      <protection locked="0" hidden="0"/>
    </xf>
    <xf numFmtId="0" fontId="10" fillId="13" borderId="5" applyAlignment="1" pivotButton="0" quotePrefix="0" xfId="0">
      <alignment horizontal="left" vertical="center" wrapText="1"/>
    </xf>
    <xf numFmtId="0" fontId="10" fillId="13" borderId="7" applyAlignment="1" pivotButton="0" quotePrefix="0" xfId="0">
      <alignment horizontal="left" vertical="center" wrapText="1"/>
    </xf>
    <xf numFmtId="0" fontId="10" fillId="13" borderId="6" applyAlignment="1" pivotButton="0" quotePrefix="0" xfId="0">
      <alignment horizontal="left" vertical="center" wrapText="1"/>
    </xf>
    <xf numFmtId="4" fontId="10" fillId="13" borderId="5" applyAlignment="1" pivotButton="0" quotePrefix="0" xfId="0">
      <alignment horizontal="center" vertical="center" wrapText="1"/>
    </xf>
    <xf numFmtId="0" fontId="10" fillId="13" borderId="7" applyAlignment="1" pivotButton="0" quotePrefix="0" xfId="0">
      <alignment horizontal="center" vertical="center" wrapText="1"/>
    </xf>
    <xf numFmtId="0" fontId="10" fillId="13" borderId="6" applyAlignment="1" pivotButton="0" quotePrefix="0" xfId="0">
      <alignment horizontal="center" vertical="center" wrapText="1"/>
    </xf>
    <xf numFmtId="3" fontId="10" fillId="13" borderId="5" applyAlignment="1" pivotButton="0" quotePrefix="0" xfId="0">
      <alignment horizontal="center" vertical="center" wrapText="1"/>
    </xf>
    <xf numFmtId="0" fontId="0" fillId="11" borderId="9" applyAlignment="1" applyProtection="1" pivotButton="0" quotePrefix="0" xfId="0">
      <alignment vertical="top" wrapText="1"/>
      <protection locked="0" hidden="0"/>
    </xf>
    <xf numFmtId="0" fontId="0" fillId="11" borderId="10" applyAlignment="1" applyProtection="1" pivotButton="0" quotePrefix="0" xfId="0">
      <alignment vertical="top" wrapText="1"/>
      <protection locked="0" hidden="0"/>
    </xf>
    <xf numFmtId="0" fontId="0" fillId="11" borderId="11" applyAlignment="1" applyProtection="1" pivotButton="0" quotePrefix="0" xfId="0">
      <alignment vertical="top" wrapText="1"/>
      <protection locked="0" hidden="0"/>
    </xf>
    <xf numFmtId="0" fontId="0" fillId="11" borderId="12" applyAlignment="1" applyProtection="1" pivotButton="0" quotePrefix="0" xfId="0">
      <alignment vertical="top" wrapText="1"/>
      <protection locked="0" hidden="0"/>
    </xf>
    <xf numFmtId="0" fontId="0" fillId="11" borderId="0" applyAlignment="1" applyProtection="1" pivotButton="0" quotePrefix="0" xfId="0">
      <alignment vertical="top" wrapText="1"/>
      <protection locked="0" hidden="0"/>
    </xf>
    <xf numFmtId="0" fontId="0" fillId="11" borderId="13" applyAlignment="1" applyProtection="1" pivotButton="0" quotePrefix="0" xfId="0">
      <alignment vertical="top" wrapText="1"/>
      <protection locked="0" hidden="0"/>
    </xf>
    <xf numFmtId="0" fontId="0" fillId="11" borderId="14" applyAlignment="1" applyProtection="1" pivotButton="0" quotePrefix="0" xfId="0">
      <alignment vertical="top" wrapText="1"/>
      <protection locked="0" hidden="0"/>
    </xf>
    <xf numFmtId="0" fontId="0" fillId="11" borderId="8" applyAlignment="1" applyProtection="1" pivotButton="0" quotePrefix="0" xfId="0">
      <alignment vertical="top" wrapText="1"/>
      <protection locked="0" hidden="0"/>
    </xf>
    <xf numFmtId="0" fontId="0" fillId="11" borderId="15" applyAlignment="1" applyProtection="1" pivotButton="0" quotePrefix="0" xfId="0">
      <alignment vertical="top" wrapText="1"/>
      <protection locked="0" hidden="0"/>
    </xf>
    <xf numFmtId="0" fontId="8" fillId="2" borderId="5" applyAlignment="1" pivotButton="0" quotePrefix="0" xfId="0">
      <alignment horizontal="center" vertical="center" wrapText="1"/>
    </xf>
    <xf numFmtId="0" fontId="8" fillId="2" borderId="7" applyAlignment="1" pivotButton="0" quotePrefix="0" xfId="0">
      <alignment horizontal="center" vertical="center" wrapText="1"/>
    </xf>
    <xf numFmtId="0" fontId="0" fillId="11" borderId="5" applyAlignment="1" applyProtection="1" pivotButton="0" quotePrefix="0" xfId="0">
      <alignment horizontal="left" vertical="center" wrapText="1"/>
      <protection locked="0" hidden="0"/>
    </xf>
    <xf numFmtId="0" fontId="0" fillId="11" borderId="7" applyAlignment="1" applyProtection="1" pivotButton="0" quotePrefix="0" xfId="0">
      <alignment horizontal="left" vertical="center" wrapText="1"/>
      <protection locked="0" hidden="0"/>
    </xf>
    <xf numFmtId="0" fontId="0" fillId="11" borderId="9" applyAlignment="1" applyProtection="1" pivotButton="0" quotePrefix="0" xfId="0">
      <alignment vertical="center" wrapText="1"/>
      <protection locked="0" hidden="0"/>
    </xf>
    <xf numFmtId="0" fontId="0" fillId="11" borderId="10" applyAlignment="1" applyProtection="1" pivotButton="0" quotePrefix="0" xfId="0">
      <alignment vertical="center" wrapText="1"/>
      <protection locked="0" hidden="0"/>
    </xf>
    <xf numFmtId="0" fontId="0" fillId="11" borderId="11" applyAlignment="1" applyProtection="1" pivotButton="0" quotePrefix="0" xfId="0">
      <alignment vertical="center" wrapText="1"/>
      <protection locked="0" hidden="0"/>
    </xf>
    <xf numFmtId="0" fontId="0" fillId="11" borderId="5" applyAlignment="1" applyProtection="1" pivotButton="0" quotePrefix="0" xfId="0">
      <alignment vertical="center" wrapText="1"/>
      <protection locked="0" hidden="0"/>
    </xf>
    <xf numFmtId="0" fontId="0" fillId="11" borderId="7" applyAlignment="1" applyProtection="1" pivotButton="0" quotePrefix="0" xfId="0">
      <alignment vertical="center" wrapText="1"/>
      <protection locked="0" hidden="0"/>
    </xf>
    <xf numFmtId="0" fontId="0" fillId="11" borderId="6" applyAlignment="1" applyProtection="1" pivotButton="0" quotePrefix="0" xfId="0">
      <alignment vertical="center" wrapText="1"/>
      <protection locked="0" hidden="0"/>
    </xf>
    <xf numFmtId="0" fontId="6" fillId="0" borderId="8" applyAlignment="1" pivotButton="0" quotePrefix="0" xfId="0">
      <alignment vertical="top" wrapText="1"/>
    </xf>
    <xf numFmtId="0" fontId="10" fillId="6" borderId="5" applyAlignment="1" pivotButton="0" quotePrefix="0" xfId="0">
      <alignment horizontal="center" vertical="center" wrapText="1"/>
    </xf>
    <xf numFmtId="0" fontId="10" fillId="6" borderId="7" applyAlignment="1" pivotButton="0" quotePrefix="0" xfId="0">
      <alignment horizontal="center" vertical="center" wrapText="1"/>
    </xf>
    <xf numFmtId="0" fontId="10" fillId="6" borderId="6" applyAlignment="1" pivotButton="0" quotePrefix="0" xfId="0">
      <alignment horizontal="center" vertical="center" wrapText="1"/>
    </xf>
    <xf numFmtId="0" fontId="10" fillId="6" borderId="1" applyAlignment="1" pivotButton="0" quotePrefix="0" xfId="0">
      <alignment horizontal="left" vertical="top" wrapText="1"/>
    </xf>
    <xf numFmtId="0" fontId="21" fillId="11" borderId="5" applyAlignment="1" applyProtection="1" pivotButton="0" quotePrefix="0" xfId="0">
      <alignment vertical="center"/>
      <protection locked="0" hidden="0"/>
    </xf>
    <xf numFmtId="0" fontId="21" fillId="11" borderId="7" applyAlignment="1" applyProtection="1" pivotButton="0" quotePrefix="0" xfId="0">
      <alignment vertical="center"/>
      <protection locked="0" hidden="0"/>
    </xf>
    <xf numFmtId="0" fontId="21" fillId="11" borderId="6" applyAlignment="1" applyProtection="1" pivotButton="0" quotePrefix="0" xfId="0">
      <alignment vertical="center"/>
      <protection locked="0" hidden="0"/>
    </xf>
    <xf numFmtId="0" fontId="7" fillId="7" borderId="5" applyAlignment="1" applyProtection="1" pivotButton="0" quotePrefix="0" xfId="0">
      <alignment horizontal="left" vertical="center" wrapText="1"/>
      <protection locked="0" hidden="0"/>
    </xf>
    <xf numFmtId="0" fontId="7" fillId="7" borderId="7" applyAlignment="1" applyProtection="1" pivotButton="0" quotePrefix="0" xfId="0">
      <alignment horizontal="left" vertical="center" wrapText="1"/>
      <protection locked="0" hidden="0"/>
    </xf>
    <xf numFmtId="0" fontId="7" fillId="11" borderId="9" applyAlignment="1" applyProtection="1" pivotButton="0" quotePrefix="0" xfId="0">
      <alignment horizontal="left" vertical="center" wrapText="1"/>
      <protection locked="0" hidden="0"/>
    </xf>
    <xf numFmtId="0" fontId="7" fillId="11" borderId="10" applyAlignment="1" applyProtection="1" pivotButton="0" quotePrefix="0" xfId="0">
      <alignment horizontal="left" vertical="center" wrapText="1"/>
      <protection locked="0" hidden="0"/>
    </xf>
    <xf numFmtId="0" fontId="7" fillId="11" borderId="11" applyAlignment="1" applyProtection="1" pivotButton="0" quotePrefix="0" xfId="0">
      <alignment horizontal="left" vertical="center" wrapText="1"/>
      <protection locked="0" hidden="0"/>
    </xf>
    <xf numFmtId="0" fontId="7" fillId="11" borderId="5" applyAlignment="1" applyProtection="1" pivotButton="0" quotePrefix="0" xfId="0">
      <alignment horizontal="left" vertical="center" wrapText="1"/>
      <protection locked="0" hidden="0"/>
    </xf>
    <xf numFmtId="0" fontId="7" fillId="11" borderId="7" applyAlignment="1" applyProtection="1" pivotButton="0" quotePrefix="0" xfId="0">
      <alignment horizontal="left" vertical="center" wrapText="1"/>
      <protection locked="0" hidden="0"/>
    </xf>
    <xf numFmtId="0" fontId="7" fillId="11" borderId="6" applyAlignment="1" applyProtection="1" pivotButton="0" quotePrefix="0" xfId="0">
      <alignment horizontal="left" vertical="center" wrapText="1"/>
      <protection locked="0" hidden="0"/>
    </xf>
    <xf numFmtId="0" fontId="0" fillId="0" borderId="0" pivotButton="0" quotePrefix="0" xfId="0"/>
    <xf numFmtId="0" fontId="2" fillId="8" borderId="0" applyAlignment="1" pivotButton="0" quotePrefix="0" xfId="0">
      <alignment horizontal="left" vertical="center" indent="1"/>
    </xf>
    <xf numFmtId="0" fontId="4" fillId="4" borderId="1" applyAlignment="1" pivotButton="0" quotePrefix="0" xfId="0">
      <alignment horizontal="left" vertical="top" wrapText="1"/>
    </xf>
    <xf numFmtId="0" fontId="0" fillId="0" borderId="6" pivotButton="0" quotePrefix="0" xfId="0"/>
    <xf numFmtId="0" fontId="1" fillId="4" borderId="1" applyAlignment="1" pivotButton="0" quotePrefix="0" xfId="0">
      <alignment horizontal="center" vertical="center"/>
    </xf>
    <xf numFmtId="0" fontId="1" fillId="4" borderId="1" applyAlignment="1" pivotButton="0" quotePrefix="0" xfId="0">
      <alignment horizontal="left" vertical="center"/>
    </xf>
    <xf numFmtId="165" fontId="18" fillId="5" borderId="1" applyAlignment="1" pivotButton="0" quotePrefix="0" xfId="0">
      <alignment horizontal="center" vertical="center"/>
    </xf>
    <xf numFmtId="164" fontId="18" fillId="5" borderId="1" applyAlignment="1" pivotButton="0" quotePrefix="0" xfId="0">
      <alignment horizontal="center" vertical="center"/>
    </xf>
    <xf numFmtId="0" fontId="18" fillId="5" borderId="1" applyAlignment="1" pivotButton="0" quotePrefix="0" xfId="0">
      <alignment horizontal="center" vertical="center"/>
    </xf>
    <xf numFmtId="0" fontId="11" fillId="4" borderId="1" applyAlignment="1" pivotButton="0" quotePrefix="0" xfId="0">
      <alignment horizontal="center" vertical="center"/>
    </xf>
    <xf numFmtId="0" fontId="11" fillId="4" borderId="1" applyAlignment="1" pivotButton="0" quotePrefix="0" xfId="0">
      <alignment horizontal="left" vertical="center"/>
    </xf>
    <xf numFmtId="0" fontId="0" fillId="11" borderId="16" applyAlignment="1" applyProtection="1" pivotButton="0" quotePrefix="0" xfId="0">
      <alignment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11" borderId="1" applyAlignment="1" applyProtection="1" pivotButton="0" quotePrefix="0" xfId="0">
      <alignment vertical="center" wrapText="1"/>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0" fillId="11" borderId="1" applyAlignment="1" applyProtection="1" pivotButton="0" quotePrefix="0" xfId="0">
      <alignment vertical="center"/>
      <protection locked="0" hidden="0"/>
    </xf>
    <xf numFmtId="0" fontId="0" fillId="0" borderId="7" pivotButton="0" quotePrefix="0" xfId="0"/>
    <xf numFmtId="166" fontId="9" fillId="5" borderId="1" applyAlignment="1" pivotButton="0" quotePrefix="0" xfId="0">
      <alignment horizontal="center" vertical="center"/>
    </xf>
    <xf numFmtId="166" fontId="10" fillId="6" borderId="1" applyAlignment="1" pivotButton="0" quotePrefix="0" xfId="0">
      <alignment horizontal="center" vertical="center"/>
    </xf>
    <xf numFmtId="164" fontId="10" fillId="6" borderId="1" applyAlignment="1" pivotButton="0" quotePrefix="0" xfId="0">
      <alignment horizontal="center" vertical="center"/>
    </xf>
    <xf numFmtId="0" fontId="10" fillId="6" borderId="1" applyAlignment="1" pivotButton="0" quotePrefix="0" xfId="0">
      <alignment horizontal="center" vertical="center" wrapText="1"/>
    </xf>
    <xf numFmtId="0" fontId="10" fillId="13" borderId="1" applyAlignment="1" pivotButton="0" quotePrefix="0" xfId="0">
      <alignment horizontal="left" vertical="center" wrapText="1"/>
    </xf>
    <xf numFmtId="4" fontId="10" fillId="13" borderId="1" applyAlignment="1" pivotButton="0" quotePrefix="0" xfId="0">
      <alignment horizontal="center" vertical="center" wrapText="1"/>
    </xf>
    <xf numFmtId="3" fontId="10" fillId="13" borderId="1" applyAlignment="1" pivotButton="0" quotePrefix="0" xfId="0">
      <alignment horizontal="center" vertical="center" wrapText="1"/>
    </xf>
    <xf numFmtId="0" fontId="0" fillId="0" borderId="8" pivotButton="0" quotePrefix="0" xfId="0"/>
    <xf numFmtId="0" fontId="0" fillId="11" borderId="1" applyAlignment="1" applyProtection="1" pivotButton="0" quotePrefix="0" xfId="0">
      <alignment vertical="top" wrapText="1"/>
      <protection locked="0" hidden="0"/>
    </xf>
    <xf numFmtId="0" fontId="0" fillId="0" borderId="12" applyProtection="1" pivotButton="0" quotePrefix="0" xfId="0">
      <protection locked="0" hidden="0"/>
    </xf>
    <xf numFmtId="0" fontId="0" fillId="0" borderId="0"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0" fillId="0" borderId="15" applyProtection="1" pivotButton="0" quotePrefix="0" xfId="0">
      <protection locked="0" hidden="0"/>
    </xf>
    <xf numFmtId="0" fontId="7" fillId="11" borderId="16" applyAlignment="1" applyProtection="1" pivotButton="0" quotePrefix="0" xfId="0">
      <alignment horizontal="left" vertical="center" wrapText="1"/>
      <protection locked="0" hidden="0"/>
    </xf>
    <xf numFmtId="0" fontId="7" fillId="11" borderId="1" applyAlignment="1" applyProtection="1" pivotButton="0" quotePrefix="0" xfId="0">
      <alignment horizontal="left" vertical="center" wrapText="1"/>
      <protection locked="0" hidden="0"/>
    </xf>
    <xf numFmtId="0" fontId="21" fillId="11" borderId="1" applyAlignment="1" applyProtection="1" pivotButton="0" quotePrefix="0" xfId="0">
      <alignment vertical="center"/>
      <protection locked="0" hidden="0"/>
    </xf>
  </cellXfs>
  <cellStyles count="1">
    <cellStyle name="Normal" xfId="0" builtinId="0"/>
  </cellStyles>
  <dxfs count="4">
    <dxf>
      <font>
        <color rgb="FF9C0006"/>
      </font>
      <fill>
        <patternFill patternType="solid">
          <fgColor indexed="64"/>
          <bgColor rgb="FFF8CBAD"/>
        </patternFill>
      </fill>
    </dxf>
    <dxf>
      <font>
        <color rgb="FF7F6000"/>
      </font>
      <fill>
        <patternFill patternType="solid">
          <fgColor indexed="64"/>
          <bgColor rgb="FFFFE699"/>
        </patternFill>
      </fill>
    </dxf>
    <dxf>
      <font>
        <color rgb="FF375623"/>
      </font>
      <fill>
        <patternFill patternType="solid">
          <fgColor indexed="64"/>
          <bgColor rgb="FFC6E0B4"/>
        </patternFill>
      </fill>
    </dxf>
    <dxf>
      <font>
        <color rgb="FF9C0006"/>
      </font>
      <fill>
        <patternFill patternType="solid">
          <fgColor indexed="64"/>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6E0B4"/>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8"/>
  <sheetViews>
    <sheetView showGridLines="0" topLeftCell="A19" zoomScaleNormal="100" workbookViewId="0">
      <selection activeCell="A1" sqref="A1"/>
    </sheetView>
  </sheetViews>
  <sheetFormatPr baseColWidth="8" defaultColWidth="8.6640625" defaultRowHeight="14.4"/>
  <cols>
    <col width="3" customWidth="1" style="128" min="1" max="1"/>
    <col width="27.77734375" customWidth="1" style="128" min="2" max="2"/>
    <col width="118.5546875" customWidth="1" style="128" min="3" max="3"/>
    <col width="3" customWidth="1" style="128" min="4" max="6"/>
  </cols>
  <sheetData>
    <row r="2" ht="30" customHeight="1" s="128">
      <c r="B2" s="5" t="inlineStr">
        <is>
          <t>MIRALEDO — Analiza cerintelor de ambalare, pe unitate si componente</t>
        </is>
      </c>
      <c r="C2" s="6" t="n"/>
    </row>
    <row r="3" ht="18" customHeight="1" s="128">
      <c r="B3" s="7" t="inlineStr">
        <is>
          <t>Ghid de completare — pentru MIRALEDO si pentru client</t>
        </is>
      </c>
      <c r="C3" s="4" t="n"/>
    </row>
    <row r="4" ht="7.95" customHeight="1" s="128">
      <c r="B4" s="4" t="n"/>
      <c r="C4" s="4" t="n"/>
    </row>
    <row r="5" ht="19.95" customHeight="1" s="128">
      <c r="B5" s="8" t="inlineStr">
        <is>
          <t>1. La ce foloseste acest fisier</t>
        </is>
      </c>
      <c r="C5" s="9" t="n"/>
    </row>
    <row r="6" ht="45.45" customHeight="1" s="128">
      <c r="B6" s="10" t="inlineStr">
        <is>
          <t>Scop</t>
        </is>
      </c>
      <c r="C6" s="11" t="inlineStr">
        <is>
          <t>Sa intelegem ce ambalaje folositi, din ce componente sunt facute, ce cere produsul de la ambalaj, ce utilaje aveti si cat de expus este ambalajul la noul Regulament european privind ambalajele (PPWR, Reg. UE 2025/40). Pe baza acestor informatii MIRALEDO poate propune imbunatatiri.</t>
        </is>
      </c>
    </row>
    <row r="7" ht="7.95" customHeight="1" s="128">
      <c r="B7" s="4" t="n"/>
      <c r="C7" s="4" t="n"/>
    </row>
    <row r="8" ht="19.95" customHeight="1" s="128">
      <c r="B8" s="8" t="inlineStr">
        <is>
          <t>2. Ideea de baza: unitatea de ambalaj</t>
        </is>
      </c>
      <c r="C8" s="9" t="n"/>
    </row>
    <row r="9" ht="31.95" customHeight="1" s="128">
      <c r="B9" s="12" t="inlineStr">
        <is>
          <t>Ce este o unitate</t>
        </is>
      </c>
      <c r="C9" s="4" t="inlineStr">
        <is>
          <t>Analiza porneste de la UNITATEA DE AMBALAJ, nu de la produs. O unitate este configuratia fizica completa a ambalajului, de exemplu: flacon sticla + capac PP + eticheta.</t>
        </is>
      </c>
    </row>
    <row r="10" ht="45.45" customHeight="1" s="128">
      <c r="B10" s="15" t="inlineStr">
        <is>
          <t>Mai multe produse</t>
        </is>
      </c>
      <c r="C10" s="16" t="inlineStr">
        <is>
          <t>Aceeasi unitate poate fi folosita pentru mai multe produse (SKU-uri), de exemplu acelasi flacon pentru o crema si pentru un ser. In acest caz se face o singura fisa, iar produsele se trec in lista din sectiunea 2 a fisei.</t>
        </is>
      </c>
    </row>
    <row r="11" ht="45.45" customHeight="1" s="128">
      <c r="B11" s="13" t="inlineStr">
        <is>
          <t>Componente</t>
        </is>
      </c>
      <c r="C11" s="14" t="inlineStr">
        <is>
          <t>Fiecare unitate are mai multe componente (flacon, capac, eticheta etc.). Fiecare componenta se descrie separat: material, culoare, greutate, % reciclabil, % continut reciclat, furnizor, pret, tara de origine.</t>
        </is>
      </c>
    </row>
    <row r="12" ht="7.95" customHeight="1" s="128">
      <c r="B12" s="4" t="n"/>
      <c r="C12" s="4" t="n"/>
    </row>
    <row r="13" ht="19.95" customHeight="1" s="128">
      <c r="B13" s="8" t="inlineStr">
        <is>
          <t>3. Ce contine fisierul</t>
        </is>
      </c>
      <c r="C13" s="9" t="n"/>
    </row>
    <row r="14" ht="18.45" customHeight="1" s="128">
      <c r="B14" s="12" t="inlineStr">
        <is>
          <t>Info Companie</t>
        </is>
      </c>
      <c r="C14" s="4" t="inlineStr">
        <is>
          <t>Date generale despre companie si persoana de contact. Se completeaza o singura data.</t>
        </is>
      </c>
    </row>
    <row r="15" ht="31.95" customHeight="1" s="128">
      <c r="B15" s="15" t="inlineStr">
        <is>
          <t>Unitati Ambalaj</t>
        </is>
      </c>
      <c r="C15" s="16" t="inlineStr">
        <is>
          <t>Lista tuturor unitatilor de ambalaj (un rand = o unitate). Greutatea totala, % reciclabil si clasa se preiau automat din fisa fiecarei unitati.</t>
        </is>
      </c>
    </row>
    <row r="16" ht="18.45" customHeight="1" s="128">
      <c r="B16" s="15" t="inlineStr">
        <is>
          <t>Fisa Unitate (Template)</t>
        </is>
      </c>
      <c r="C16" s="16" t="inlineStr">
        <is>
          <t>Model gol al unei fise. Nu se completeaza direct: se copiaza pentru fiecare unitate noua.</t>
        </is>
      </c>
    </row>
    <row r="17" ht="31.95" customHeight="1" s="128">
      <c r="B17" s="15" t="inlineStr">
        <is>
          <t>Unitate 1, Unitate 2, ...</t>
        </is>
      </c>
      <c r="C17" s="16" t="inlineStr">
        <is>
          <t>Fisele unitatilor, cate una per unitate. 'Unitate 1' contine un exemplu fictiv (text gri, italic), ca model de completare.</t>
        </is>
      </c>
    </row>
    <row r="18" ht="31.95" customHeight="1" s="128">
      <c r="B18" s="13" t="inlineStr">
        <is>
          <t>Sectiunile unei fise</t>
        </is>
      </c>
      <c r="C18" s="14" t="inlineStr">
        <is>
          <t>1. Identificare unitate | 2. Produse/SKU-uri | 3. Componente (cu calcul automat) | 4. Cerintele produsului | 5. Procesul de ambalare si utilajele | 6. Analiza de risc PPWR | 7. Comercial si pasi urmatori.</t>
        </is>
      </c>
    </row>
    <row r="19" ht="7.95" customHeight="1" s="128">
      <c r="B19" s="4" t="n"/>
      <c r="C19" s="4" t="n"/>
    </row>
    <row r="20" ht="19.95" customHeight="1" s="128">
      <c r="B20" s="8" t="inlineStr">
        <is>
          <t>4. Cum se completeaza</t>
        </is>
      </c>
      <c r="C20" s="9" t="n"/>
    </row>
    <row r="21" ht="18.45" customHeight="1" s="128">
      <c r="B21" s="12" t="inlineStr">
        <is>
          <t>Pasul 1</t>
        </is>
      </c>
      <c r="C21" s="4" t="inlineStr">
        <is>
          <t>Info Companie: completati datele companiei si ale persoanei de contact.</t>
        </is>
      </c>
    </row>
    <row r="22" ht="45.45" customHeight="1" s="128">
      <c r="B22" s="15" t="inlineStr">
        <is>
          <t>Pasul 2</t>
        </is>
      </c>
      <c r="C22" s="16" t="inlineStr">
        <is>
          <t>In fisa unitatii, sectiunea 1: denumirea, capacitatea, dimensiunile si documentele disponibile (fisa tehnica, desen, poze). Sectiunea 2: produsele/SKU-urile care o folosesc, cu volumul anual (numar, buc/an) si frecventa comenzilor.</t>
        </is>
      </c>
    </row>
    <row r="23" ht="58.95" customHeight="1" s="128">
      <c r="B23" s="15" t="inlineStr">
        <is>
          <t>Pasul 3</t>
        </is>
      </c>
      <c r="C23" s="16" t="inlineStr">
        <is>
          <t>Sectiunea 3: un rand pentru fiecare componenta. Greutatea se scrie in grame, pretul in EUR / 1000 buc (numere), iar procentele ca procent (ex: 60%). '% continut reciclat' se completeaza doar pentru componentele din plastic. La greutate, % reciclabil si pret lasati celula goala daca nu stiti valoarea; in celelalte coloane puteti scrie 'de confirmat'.</t>
        </is>
      </c>
    </row>
    <row r="24" ht="45.45" customHeight="1" s="128">
      <c r="B24" s="15" t="inlineStr">
        <is>
          <t>Pasul 4</t>
        </is>
      </c>
      <c r="C24" s="16" t="inlineStr">
        <is>
          <t>Sectiunile 4 si 5: categoria produsului (alimentar / farma / cosmetic / supliment), functiile cerute ambalajului, cerintele produsului (oxigen, lumina, umiditate, temperaturi, shelf-life) si utilajele de pe linie (viteza, umplere, inchidere, cod gat, etichetare).</t>
        </is>
      </c>
    </row>
    <row r="25" ht="31.95" customHeight="1" s="128">
      <c r="B25" s="15" t="inlineStr">
        <is>
          <t>Pasul 5</t>
        </is>
      </c>
      <c r="C25" s="16" t="inlineStr">
        <is>
          <t>Sectiunea 6 (risc PPWR) se completeaza impreuna cu MIRALEDO. Sectiunea 7 (comercial) este interna MIRALEDO si nu trebuie completata de client.</t>
        </is>
      </c>
    </row>
    <row r="26" ht="18.45" customHeight="1" s="128">
      <c r="B26" s="15" t="inlineStr">
        <is>
          <t>Pasul 6</t>
        </is>
      </c>
      <c r="C26" s="16" t="inlineStr">
        <is>
          <t>Verificati rezultatul din celulele verzi de sub tabelul de componente si trimiteti-ne fisierul.</t>
        </is>
      </c>
    </row>
    <row r="27" ht="31.95" customHeight="1" s="128">
      <c r="B27" s="17" t="inlineStr">
        <is>
          <t>Atentie</t>
        </is>
      </c>
      <c r="C27" s="18" t="inlineStr">
        <is>
          <t>O componenta cu greutate, dar fara % reciclabil, intra in calcul ca 0% reciclabil, deci rezultatul va fi mai mic decat in realitate.</t>
        </is>
      </c>
    </row>
    <row r="28" ht="7.95" customHeight="1" s="128">
      <c r="B28" s="4" t="n"/>
      <c r="C28" s="4" t="n"/>
    </row>
    <row r="29" ht="19.95" customHeight="1" s="128">
      <c r="B29" s="8" t="inlineStr">
        <is>
          <t>5. Cum se calculeaza reciclabilitatea</t>
        </is>
      </c>
      <c r="C29" s="9" t="n"/>
    </row>
    <row r="30" ht="18.45" customHeight="1" s="128">
      <c r="B30" s="12" t="inlineStr">
        <is>
          <t>Masa reciclabila</t>
        </is>
      </c>
      <c r="C30" s="4" t="inlineStr">
        <is>
          <t>Pentru fiecare componenta: greutate (g) x % reciclabil.</t>
        </is>
      </c>
    </row>
    <row r="31" ht="18.45" customHeight="1" s="128">
      <c r="B31" s="15" t="inlineStr">
        <is>
          <t>Total unitate</t>
        </is>
      </c>
      <c r="C31" s="16" t="inlineStr">
        <is>
          <t>Se aduna greutatile si masele reciclabile ale tuturor componentelor.</t>
        </is>
      </c>
    </row>
    <row r="32" ht="18.45" customHeight="1" s="128">
      <c r="B32" s="15" t="inlineStr">
        <is>
          <t>% reciclabil ponderat</t>
        </is>
      </c>
      <c r="C32" s="16" t="inlineStr">
        <is>
          <t>Masa reciclabila totala / greutatea totala. Calculul se face pe greutate, la nivel de unitate de ambalaj.</t>
        </is>
      </c>
    </row>
    <row r="33" ht="31.95" customHeight="1" s="128">
      <c r="B33" s="15" t="inlineStr">
        <is>
          <t>Clasa de reciclabilitate</t>
        </is>
      </c>
      <c r="C33" s="16" t="inlineStr">
        <is>
          <t>A = cel putin 95%  |  B = cel putin 80%  |  C = cel putin 70%  |  sub 70% = nereciclabil (nu exista clasa D).</t>
        </is>
      </c>
    </row>
    <row r="34" ht="31.95" customHeight="1" s="128">
      <c r="B34" s="15" t="inlineStr">
        <is>
          <t>Exemplu ilustrativ</t>
        </is>
      </c>
      <c r="C34" s="16" t="inlineStr">
        <is>
          <t>Flacon 85 g cu 100% reciclabil + capac 12 g cu 60% + eticheta 1,5 g cu 0% = 92,2 g reciclabil din 98,5 g = 93,6% -&gt; clasa B.</t>
        </is>
      </c>
    </row>
    <row r="35" ht="31.95" customHeight="1" s="128">
      <c r="B35" s="15" t="inlineStr">
        <is>
          <t>Culoarea componentei</t>
        </is>
      </c>
      <c r="C35" s="16" t="inlineStr">
        <is>
          <t>Culorile pe baza de negru de fum nu sunt detectate de sortarea optica (NIR) si pot face componenta nereciclabila in practica. Daca este cazul, notati in coloana 'Observatii / risc' si ajustati % reciclabil.</t>
        </is>
      </c>
    </row>
    <row r="36" ht="45.45" customHeight="1" s="128">
      <c r="B36" s="17" t="inlineStr">
        <is>
          <t>Important</t>
        </is>
      </c>
      <c r="C36" s="18" t="inlineStr">
        <is>
          <t>Clasa este o evaluare comerciala interna MIRALEDO, bazata pe datele completate. Nu este o certificare oficiala: PPWR nu prevede asa ceva. Conformitatea se demonstreaza prin documentatie tehnica si declaratie de conformitate.</t>
        </is>
      </c>
    </row>
    <row r="37" ht="7.95" customHeight="1" s="128">
      <c r="B37" s="4" t="n"/>
      <c r="C37" s="4" t="n"/>
    </row>
    <row r="38" ht="19.95" customHeight="1" s="128">
      <c r="B38" s="8" t="inlineStr">
        <is>
          <t>6. Legenda culori</t>
        </is>
      </c>
      <c r="C38" s="9" t="n"/>
    </row>
    <row r="39" ht="18.45" customHeight="1" s="128">
      <c r="B39" s="19" t="inlineStr">
        <is>
          <t>Galben</t>
        </is>
      </c>
      <c r="C39" s="4" t="inlineStr">
        <is>
          <t>Celula de completat manual.</t>
        </is>
      </c>
    </row>
    <row r="40" ht="18.45" customHeight="1" s="128">
      <c r="B40" s="20" t="inlineStr">
        <is>
          <t>Verde deschis</t>
        </is>
      </c>
      <c r="C40" s="16" t="inlineStr">
        <is>
          <t>Celula calculata automat (formula) - nu se completeaza.</t>
        </is>
      </c>
    </row>
    <row r="41" ht="18.45" customHeight="1" s="128">
      <c r="B41" s="21" t="inlineStr">
        <is>
          <t>Verde intens</t>
        </is>
      </c>
      <c r="C41" s="16" t="inlineStr">
        <is>
          <t>Rezultatul final al calculului de reciclabilitate al unitatii.</t>
        </is>
      </c>
    </row>
    <row r="42" ht="18.45" customHeight="1" s="128">
      <c r="B42" s="22" t="inlineStr">
        <is>
          <t>Text gri, italic</t>
        </is>
      </c>
      <c r="C42" s="23" t="inlineStr">
        <is>
          <t>Exemplu fictiv - se inlocuieste cu date reale.</t>
        </is>
      </c>
    </row>
    <row r="43" ht="7.95" customHeight="1" s="128">
      <c r="B43" s="4" t="n"/>
      <c r="C43" s="4" t="n"/>
    </row>
    <row r="44" ht="19.95" customHeight="1" s="128">
      <c r="B44" s="8" t="inlineStr">
        <is>
          <t>7. Cum adaugati o unitate noua</t>
        </is>
      </c>
      <c r="C44" s="9" t="n"/>
    </row>
    <row r="45" ht="31.95" customHeight="1" s="128">
      <c r="B45" s="12" t="inlineStr">
        <is>
          <t>Pasul 1</t>
        </is>
      </c>
      <c r="C45" s="4" t="inlineStr">
        <is>
          <t>Click dreapta pe eticheta sheet-ului 'Fisa Unitate (Template)' -&gt; Move or Copy -&gt; bifati 'Create a copy' -&gt; OK. Redenumiti copia (ex: 'Unitate 3').</t>
        </is>
      </c>
    </row>
    <row r="46" ht="18.45" customHeight="1" s="128">
      <c r="B46" s="15" t="inlineStr">
        <is>
          <t>Pasul 2</t>
        </is>
      </c>
      <c r="C46" s="16" t="inlineStr">
        <is>
          <t>Completati fisa copiata, sectiunile 1-7.</t>
        </is>
      </c>
    </row>
    <row r="47" ht="45.45" customHeight="1" s="128">
      <c r="B47" s="15" t="inlineStr">
        <is>
          <t>Pasul 3</t>
        </is>
      </c>
      <c r="C47" s="16" t="inlineStr">
        <is>
          <t>In 'Unitati Ambalaj', pe primul rand liber, scrieti denumirea, produsele/SKU-urile si, in coloana 'Sheet analiza', numele EXACT al sheet-ului (ex: Unitate 3). Greutatea, % reciclabil si clasa apar automat.</t>
        </is>
      </c>
    </row>
    <row r="48" ht="58.95" customHeight="1" s="128">
      <c r="B48" s="17" t="inlineStr">
        <is>
          <t>Nu modificati structura</t>
        </is>
      </c>
      <c r="C48" s="18" t="inlineStr">
        <is>
          <t>Fisele de unitate sunt protejate (fara parola): se pot completa doar celulele galbene. Nu inserati, nu stergeti si nu mutati randuri in fisa unitatii, mai ales in sectiunea 3: rezultatele depind de pozitia celulelor. Fisa are 8 randuri pentru componente, iar lista 'Unitati Ambalaj' are loc pentru 10 unitati. Daca aveti nevoie de mai multe, contactati MIRALEDO.</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D29"/>
  <sheetViews>
    <sheetView showGridLines="0" topLeftCell="A19" zoomScaleNormal="100" workbookViewId="0">
      <selection activeCell="B29" sqref="B29"/>
    </sheetView>
  </sheetViews>
  <sheetFormatPr baseColWidth="8" defaultColWidth="8.6640625" defaultRowHeight="14.4"/>
  <cols>
    <col width="3" customWidth="1" style="128" min="1" max="1"/>
    <col width="60.44140625" customWidth="1" style="128" min="2" max="2"/>
    <col width="20" customWidth="1" style="128" min="3" max="3"/>
    <col width="86.5546875" customWidth="1" style="128" min="4" max="4"/>
    <col width="3" customWidth="1" style="128" min="5" max="5"/>
  </cols>
  <sheetData>
    <row r="2" ht="27.75" customHeight="1" s="128">
      <c r="B2" s="81" t="inlineStr">
        <is>
          <t>Informatii generale despre companie</t>
        </is>
      </c>
    </row>
    <row r="4" ht="19.5" customHeight="1" s="128">
      <c r="B4" s="80" t="inlineStr">
        <is>
          <t>Date de identificare</t>
        </is>
      </c>
    </row>
    <row r="5" ht="18" customHeight="1" s="128">
      <c r="B5" s="2" t="inlineStr">
        <is>
          <t>Denumire companie</t>
        </is>
      </c>
      <c r="C5" s="130" t="inlineStr">
        <is>
          <t>SC MEBRA SRL</t>
        </is>
      </c>
      <c r="D5" s="131" t="n"/>
    </row>
    <row r="6" ht="18" customHeight="1" s="128">
      <c r="B6" s="2" t="inlineStr">
        <is>
          <t>CUI / Cod fiscal</t>
        </is>
      </c>
      <c r="C6" s="130" t="inlineStr">
        <is>
          <t>6522852 (Nr. Reg. Com. J08/3059/02.12.1994)</t>
        </is>
      </c>
      <c r="D6" s="131" t="n"/>
    </row>
    <row r="7" ht="18" customHeight="1" s="128">
      <c r="B7" s="2" t="inlineStr">
        <is>
          <t>Adresa sediu</t>
        </is>
      </c>
      <c r="C7" s="130" t="inlineStr">
        <is>
          <t>Str. Calugareni nr. 7, Brasov, jud. Brasov</t>
        </is>
      </c>
      <c r="D7" s="131" t="n"/>
    </row>
    <row r="8" ht="18" customHeight="1" s="128">
      <c r="B8" s="2" t="inlineStr">
        <is>
          <t>Adresa punct de productie (daca difera)</t>
        </is>
      </c>
      <c r="C8" s="130" t="inlineStr">
        <is>
          <t>Bod, Str. Ariujdului nr. 92, jud. Brasov (sectia de productie, conform istoricului de pe site)</t>
        </is>
      </c>
      <c r="D8" s="131" t="n"/>
    </row>
    <row r="9" ht="18" customHeight="1" s="128">
      <c r="B9" s="2" t="inlineStr">
        <is>
          <t>Website</t>
        </is>
      </c>
      <c r="C9" s="130" t="inlineStr">
        <is>
          <t>www.mebra.ro</t>
        </is>
      </c>
      <c r="D9" s="131" t="n"/>
    </row>
    <row r="10" ht="18" customHeight="1" s="128">
      <c r="B10" s="2" t="inlineStr">
        <is>
          <t>Domeniu de activitate / Industrie</t>
        </is>
      </c>
      <c r="C10" s="130" t="inlineStr">
        <is>
          <t>Medicamente (OXIMED), dispozitive medicale (pansamente si leucoplaste MEDPLAST), cosmetice (MEBRA, TONIFOR, ERITROACNOL, MEDARA), suplimente, benzi adezive industriale (MEDBAND); fabricatie in regim de terti (aerosoli, cosmetice)</t>
        </is>
      </c>
      <c r="D10" s="131" t="n"/>
    </row>
    <row r="12" ht="19.5" customHeight="1" s="128">
      <c r="B12" s="80" t="inlineStr">
        <is>
          <t>Persoana de contact</t>
        </is>
      </c>
    </row>
    <row r="13" ht="18" customHeight="1" s="128">
      <c r="B13" s="2" t="inlineStr">
        <is>
          <t>Nume si prenume</t>
        </is>
      </c>
      <c r="C13" s="130" t="n"/>
      <c r="D13" s="131" t="n"/>
    </row>
    <row r="14" ht="18" customHeight="1" s="128">
      <c r="B14" s="2" t="inlineStr">
        <is>
          <t>Functie</t>
        </is>
      </c>
      <c r="C14" s="130" t="n"/>
      <c r="D14" s="131" t="n"/>
    </row>
    <row r="15" ht="18" customHeight="1" s="128">
      <c r="B15" s="2" t="inlineStr">
        <is>
          <t>Email</t>
        </is>
      </c>
      <c r="C15" s="130" t="n"/>
      <c r="D15" s="131" t="n"/>
    </row>
    <row r="16" ht="18" customHeight="1" s="128">
      <c r="B16" s="2" t="inlineStr">
        <is>
          <t>Telefon</t>
        </is>
      </c>
      <c r="C16" s="130" t="n"/>
      <c r="D16" s="131" t="n"/>
    </row>
    <row r="18" ht="19.5" customHeight="1" s="128">
      <c r="B18" s="80" t="inlineStr">
        <is>
          <t>Profil comercial si de productie</t>
        </is>
      </c>
    </row>
    <row r="19" ht="18" customHeight="1" s="128">
      <c r="B19" s="2" t="inlineStr">
        <is>
          <t>Piete de desfacere (Romania / export)</t>
        </is>
      </c>
      <c r="C19" s="130" t="inlineStr">
        <is>
          <t>De confirmat</t>
        </is>
      </c>
      <c r="D19" s="131" t="n"/>
    </row>
    <row r="20" ht="18" customHeight="1" s="128">
      <c r="B20" s="2" t="inlineStr">
        <is>
          <t>Volum anual de productie estimat (toate produsele)</t>
        </is>
      </c>
      <c r="C20" s="130" t="inlineStr">
        <is>
          <t>De confirmat</t>
        </is>
      </c>
      <c r="D20" s="131" t="n"/>
    </row>
    <row r="21" ht="19.2" customHeight="1" s="128">
      <c r="B21" s="2" t="inlineStr">
        <is>
          <t>Nr. aproximativ de produse/SKU-uri si de unitati de ambalaj diferite</t>
        </is>
      </c>
      <c r="C21" s="130" t="inlineStr">
        <is>
          <t>46 produse pe mebra.ro (37 individuale + 9 seturi), 28.10.2026; 15 unitati de ambalaj identificate pana acum</t>
        </is>
      </c>
      <c r="D21" s="131" t="n"/>
    </row>
    <row r="22" ht="17.4" customHeight="1" s="128">
      <c r="B22" s="2" t="inlineStr">
        <is>
          <t>Certificari companie (ISO, GMP, HACCP etc.)</t>
        </is>
      </c>
      <c r="C22" s="130" t="inlineStr">
        <is>
          <t>GMP medicamente (2004); ISO 9001 si ISO 14001, SRAC/IQNET (2005) - mentionate pe mebra.ro, valabilitatea actuala de confirmat</t>
        </is>
      </c>
      <c r="D22" s="131" t="n"/>
    </row>
    <row r="23" ht="18" customHeight="1" s="128">
      <c r="B23" s="2" t="inlineStr">
        <is>
          <t>Cerinte de sustenabilitate / PPWR cunoscute</t>
        </is>
      </c>
      <c r="C23" s="130" t="inlineStr">
        <is>
          <t>De confirmat</t>
        </is>
      </c>
      <c r="D23" s="131" t="n"/>
    </row>
    <row r="24" ht="18" customHeight="1" s="128">
      <c r="B24" s="2" t="inlineStr">
        <is>
          <t>Mod actual de raportare EPR / Fond de Mediu</t>
        </is>
      </c>
      <c r="C24" s="130" t="inlineStr">
        <is>
          <t>De confirmat</t>
        </is>
      </c>
      <c r="D24" s="131" t="n"/>
    </row>
    <row r="26" ht="19.5" customHeight="1" s="128">
      <c r="B26" s="80" t="inlineStr">
        <is>
          <t>Administrativ</t>
        </is>
      </c>
    </row>
    <row r="27" ht="18.6" customHeight="1" s="128">
      <c r="B27" s="2" t="inlineStr">
        <is>
          <t>Data completarii</t>
        </is>
      </c>
      <c r="C27" s="130" t="inlineStr">
        <is>
          <t>28.10.2026</t>
        </is>
      </c>
      <c r="D27" s="131" t="n"/>
    </row>
    <row r="28" ht="18.6" customHeight="1" s="128">
      <c r="B28" s="2" t="inlineStr">
        <is>
          <t>Completat de (nume si companie)</t>
        </is>
      </c>
      <c r="C28" s="130" t="inlineStr">
        <is>
          <t>MIRALEDO (date preluate de pe mebra.ro)</t>
        </is>
      </c>
      <c r="D28" s="131" t="n"/>
    </row>
    <row r="29" ht="18.6" customHeight="1" s="128">
      <c r="B29" s="2" t="inlineStr">
        <is>
          <t>Persoana de contact MIRALEDO (nume, email, telefon)</t>
        </is>
      </c>
      <c r="C29" s="130" t="n"/>
      <c r="D29" s="131" t="n"/>
    </row>
  </sheetData>
  <mergeCells count="24">
    <mergeCell ref="C6:D6"/>
    <mergeCell ref="C24:D24"/>
    <mergeCell ref="C15:D15"/>
    <mergeCell ref="C5:D5"/>
    <mergeCell ref="C14:D14"/>
    <mergeCell ref="C20:D20"/>
    <mergeCell ref="C29:D29"/>
    <mergeCell ref="C10:D10"/>
    <mergeCell ref="C16:D16"/>
    <mergeCell ref="C22:D22"/>
    <mergeCell ref="C9:D9"/>
    <mergeCell ref="C21:D21"/>
    <mergeCell ref="C27:D27"/>
    <mergeCell ref="B4:D4"/>
    <mergeCell ref="B26:D26"/>
    <mergeCell ref="C23:D23"/>
    <mergeCell ref="C8:D8"/>
    <mergeCell ref="C7:D7"/>
    <mergeCell ref="C19:D19"/>
    <mergeCell ref="B18:D18"/>
    <mergeCell ref="C28:D28"/>
    <mergeCell ref="C13:D13"/>
    <mergeCell ref="B12:D12"/>
    <mergeCell ref="B2:D2"/>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2:N39"/>
  <sheetViews>
    <sheetView showGridLines="0" tabSelected="1" zoomScaleNormal="100" workbookViewId="0">
      <pane xSplit="3" ySplit="6" topLeftCell="D7" activePane="bottomRight" state="frozen"/>
      <selection pane="topRight"/>
      <selection pane="bottomLeft"/>
      <selection pane="bottomRight" activeCell="C1" sqref="C1"/>
      <selection pane="bottomLeft" activeCell="A7" sqref="A7"/>
      <selection pane="bottomRight" activeCell="B6" sqref="B6"/>
    </sheetView>
  </sheetViews>
  <sheetFormatPr baseColWidth="8" defaultColWidth="8.6640625" defaultRowHeight="14.4"/>
  <cols>
    <col width="3" customWidth="1" style="128" min="1" max="1"/>
    <col width="7.44140625" customWidth="1" style="128" min="2" max="2"/>
    <col width="35.21875" customWidth="1" style="128" min="3" max="3"/>
    <col width="16.6640625" customWidth="1" style="128" min="4" max="4"/>
    <col width="24.109375" customWidth="1" style="128" min="5" max="5"/>
    <col width="35.21875" customWidth="1" style="128" min="6" max="6"/>
    <col width="18.5546875" customWidth="1" style="128" min="7" max="7"/>
    <col width="15.77734375" customWidth="1" style="128" min="8" max="8"/>
    <col width="14.77734375" customWidth="1" style="128" min="9" max="9"/>
    <col width="19.44140625" customWidth="1" style="128" min="10" max="10"/>
    <col width="23.109375" customWidth="1" style="128" min="11" max="11"/>
    <col width="16.6640625" customWidth="1" style="128" min="12" max="12"/>
    <col width="31.44140625" customWidth="1" style="128" min="13" max="13"/>
  </cols>
  <sheetData>
    <row r="2" ht="27.75" customHeight="1" s="128">
      <c r="B2" s="129" t="inlineStr">
        <is>
          <t>Unitati de ambalaj — lista si rezumat</t>
        </is>
      </c>
      <c r="L2" s="34" t="n"/>
      <c r="M2" s="34" t="n"/>
    </row>
    <row r="4" ht="27.75" customHeight="1" s="128">
      <c r="B4" s="82" t="inlineStr">
        <is>
          <t>Fiecare linie = o unitate de ambalaj (o configuratie fizica de componente). Detalierea completa (componente, cerinte, risc PPWR, comercial) se face in sheet-ul scris la 'Sheet analiza'. Coloanele galbene se completeaza; coloanele verzi se preiau automat din acel sheet. Daca numele sheet-ului este gresit, celula devine rosie.</t>
        </is>
      </c>
    </row>
    <row r="6" ht="45" customHeight="1" s="128">
      <c r="B6" s="3" t="inlineStr">
        <is>
          <t>Nr.</t>
        </is>
      </c>
      <c r="C6" s="3" t="inlineStr">
        <is>
          <t>Denumire unitate (pe baza componentelor)</t>
        </is>
      </c>
      <c r="D6" s="3" t="inlineStr">
        <is>
          <t>Volum ambalaj (ml / g)</t>
        </is>
      </c>
      <c r="E6" s="3" t="inlineStr">
        <is>
          <t>Culoare</t>
        </is>
      </c>
      <c r="F6" s="3" t="inlineStr">
        <is>
          <t>Produse / SKU-uri care o folosesc</t>
        </is>
      </c>
      <c r="G6" s="3" t="inlineStr">
        <is>
          <t>Sheet analiza (nume exact)</t>
        </is>
      </c>
      <c r="H6" s="3" t="inlineStr">
        <is>
          <t>Greutate totala (g)</t>
        </is>
      </c>
      <c r="I6" s="3" t="inlineStr">
        <is>
          <t>% reciclabil</t>
        </is>
      </c>
      <c r="J6" s="3" t="inlineStr">
        <is>
          <t>Clasa reciclabilitate</t>
        </is>
      </c>
      <c r="K6" s="3" t="inlineStr">
        <is>
          <t>Prioritate (Mare / Medie / Mica)</t>
        </is>
      </c>
      <c r="L6" s="3" t="inlineStr">
        <is>
          <t>Stadiu analiza</t>
        </is>
      </c>
      <c r="M6" s="3" t="inlineStr">
        <is>
          <t>Observatii</t>
        </is>
      </c>
    </row>
    <row r="7" s="128">
      <c r="B7" s="132" t="n">
        <v>1</v>
      </c>
      <c r="C7" s="133" t="inlineStr">
        <is>
          <t>Flacon 90 capsule + capac</t>
        </is>
      </c>
      <c r="D7" s="133" t="inlineStr">
        <is>
          <t>De confirmat</t>
        </is>
      </c>
      <c r="E7" s="133" t="inlineStr">
        <is>
          <t>Brun (flacon), auriu (capac), din poza</t>
        </is>
      </c>
      <c r="F7" s="133" t="inlineStr">
        <is>
          <t>Mebra NeuroRelax, 90 capsule; Mebra NeuroMag, 90 capsule; Mebra NeuroSan, 90 capsule</t>
        </is>
      </c>
      <c r="G7" s="132" t="n"/>
      <c r="H7" s="134">
        <f>IFERROR(INDIRECT("'"&amp;G7&amp;"'!E26"),"")</f>
        <v/>
      </c>
      <c r="I7" s="135">
        <f>IFERROR(INDIRECT("'"&amp;G7&amp;"'!E27"),"")</f>
        <v/>
      </c>
      <c r="J7" s="136">
        <f>IFERROR(INDIRECT("'"&amp;G7&amp;"'!E28"),"")</f>
        <v/>
      </c>
      <c r="K7" s="137" t="n"/>
      <c r="L7" s="137" t="inlineStr">
        <is>
          <t>In curs</t>
        </is>
      </c>
      <c r="M7" s="138" t="n"/>
    </row>
    <row r="8" s="128">
      <c r="B8" s="132" t="n">
        <v>2</v>
      </c>
      <c r="C8" s="133" t="inlineStr">
        <is>
          <t>Bidon 5 L + capac + maner</t>
        </is>
      </c>
      <c r="D8" s="133" t="inlineStr">
        <is>
          <t>5 L</t>
        </is>
      </c>
      <c r="E8" s="133" t="inlineStr">
        <is>
          <t>Transparent (bidon), galben (capac), din poza</t>
        </is>
      </c>
      <c r="F8" s="133" t="inlineStr">
        <is>
          <t>MEBRA Solutie curatare maini 5L</t>
        </is>
      </c>
      <c r="G8" s="132" t="n"/>
      <c r="H8" s="134">
        <f>IFERROR(INDIRECT("'"&amp;G8&amp;"'!E26"),"")</f>
        <v/>
      </c>
      <c r="I8" s="135">
        <f>IFERROR(INDIRECT("'"&amp;G8&amp;"'!E27"),"")</f>
        <v/>
      </c>
      <c r="J8" s="136">
        <f>IFERROR(INDIRECT("'"&amp;G8&amp;"'!E28"),"")</f>
        <v/>
      </c>
      <c r="K8" s="137" t="n"/>
      <c r="L8" s="137" t="inlineStr">
        <is>
          <t>In curs</t>
        </is>
      </c>
      <c r="M8" s="138" t="n"/>
    </row>
    <row r="9" s="128">
      <c r="B9" s="132" t="n">
        <v>3</v>
      </c>
      <c r="C9" s="133" t="inlineStr">
        <is>
          <t>Flacon 300 ml + pompa dozatoare</t>
        </is>
      </c>
      <c r="D9" s="133" t="inlineStr">
        <is>
          <t>300 ml</t>
        </is>
      </c>
      <c r="E9" s="133" t="inlineStr">
        <is>
          <t>Brun (flacon), negru (pompa), din poza</t>
        </is>
      </c>
      <c r="F9" s="133" t="inlineStr">
        <is>
          <t>MEBRA Ulei de masaj antistres 300ml; MEBRA ulei de masaj revitalizant 300ml</t>
        </is>
      </c>
      <c r="G9" s="132" t="n"/>
      <c r="H9" s="134">
        <f>IFERROR(INDIRECT("'"&amp;G9&amp;"'!E26"),"")</f>
        <v/>
      </c>
      <c r="I9" s="135">
        <f>IFERROR(INDIRECT("'"&amp;G9&amp;"'!E27"),"")</f>
        <v/>
      </c>
      <c r="J9" s="136">
        <f>IFERROR(INDIRECT("'"&amp;G9&amp;"'!E28"),"")</f>
        <v/>
      </c>
      <c r="K9" s="137" t="n"/>
      <c r="L9" s="137" t="inlineStr">
        <is>
          <t>In curs</t>
        </is>
      </c>
      <c r="M9" s="138" t="n"/>
    </row>
    <row r="10" s="128">
      <c r="B10" s="132" t="n">
        <v>4</v>
      </c>
      <c r="C10" s="133" t="inlineStr">
        <is>
          <t>Flacon 200 ml + capac</t>
        </is>
      </c>
      <c r="D10" s="133" t="inlineStr">
        <is>
          <t>200 ml</t>
        </is>
      </c>
      <c r="E10" s="133" t="inlineStr">
        <is>
          <t>Alb (din poza)</t>
        </is>
      </c>
      <c r="F10" s="133" t="inlineStr">
        <is>
          <t>MEDARA loțiune contra căderii părului cu chinină și extracte de ardei iute, urzica, salvie și sunătoare 200ml</t>
        </is>
      </c>
      <c r="G10" s="132" t="n"/>
      <c r="H10" s="134">
        <f>IFERROR(INDIRECT("'"&amp;G10&amp;"'!E26"),"")</f>
        <v/>
      </c>
      <c r="I10" s="135">
        <f>IFERROR(INDIRECT("'"&amp;G10&amp;"'!E27"),"")</f>
        <v/>
      </c>
      <c r="J10" s="136">
        <f>IFERROR(INDIRECT("'"&amp;G10&amp;"'!E28"),"")</f>
        <v/>
      </c>
      <c r="K10" s="137" t="n"/>
      <c r="L10" s="137" t="inlineStr">
        <is>
          <t>In curs</t>
        </is>
      </c>
      <c r="M10" s="138" t="n"/>
    </row>
    <row r="11" s="128">
      <c r="B11" s="132" t="n">
        <v>5</v>
      </c>
      <c r="C11" s="133" t="inlineStr">
        <is>
          <t>Flacon 150 ml + capac</t>
        </is>
      </c>
      <c r="D11" s="133" t="inlineStr">
        <is>
          <t>150 ml</t>
        </is>
      </c>
      <c r="E11" s="133" t="inlineStr">
        <is>
          <t>Alb (din poza)</t>
        </is>
      </c>
      <c r="F11" s="133" t="inlineStr">
        <is>
          <t>MEBRA Ulei vitaminizant copii 150ml</t>
        </is>
      </c>
      <c r="G11" s="132" t="n"/>
      <c r="H11" s="134">
        <f>IFERROR(INDIRECT("'"&amp;G11&amp;"'!E26"),"")</f>
        <v/>
      </c>
      <c r="I11" s="135">
        <f>IFERROR(INDIRECT("'"&amp;G11&amp;"'!E27"),"")</f>
        <v/>
      </c>
      <c r="J11" s="136">
        <f>IFERROR(INDIRECT("'"&amp;G11&amp;"'!E28"),"")</f>
        <v/>
      </c>
      <c r="K11" s="137" t="n"/>
      <c r="L11" s="137" t="inlineStr">
        <is>
          <t>In curs</t>
        </is>
      </c>
      <c r="M11" s="138" t="n"/>
    </row>
    <row r="12" s="128">
      <c r="B12" s="132" t="n">
        <v>6</v>
      </c>
      <c r="C12" s="133" t="inlineStr">
        <is>
          <t>Flacon 120 ml + capac</t>
        </is>
      </c>
      <c r="D12" s="133" t="inlineStr">
        <is>
          <t>120 ml</t>
        </is>
      </c>
      <c r="E12" s="133" t="inlineStr">
        <is>
          <t>Alb (din poza)</t>
        </is>
      </c>
      <c r="F12" s="133" t="inlineStr">
        <is>
          <t>ERITROACNOL loțiune 120ml</t>
        </is>
      </c>
      <c r="G12" s="132" t="n"/>
      <c r="H12" s="134">
        <f>IFERROR(INDIRECT("'"&amp;G12&amp;"'!E26"),"")</f>
        <v/>
      </c>
      <c r="I12" s="135">
        <f>IFERROR(INDIRECT("'"&amp;G12&amp;"'!E27"),"")</f>
        <v/>
      </c>
      <c r="J12" s="136">
        <f>IFERROR(INDIRECT("'"&amp;G12&amp;"'!E28"),"")</f>
        <v/>
      </c>
      <c r="K12" s="137" t="n"/>
      <c r="L12" s="137" t="inlineStr">
        <is>
          <t>In curs</t>
        </is>
      </c>
      <c r="M12" s="138" t="n"/>
    </row>
    <row r="13" s="128">
      <c r="B13" s="132" t="n">
        <v>7</v>
      </c>
      <c r="C13" s="133" t="inlineStr">
        <is>
          <t>Flacon 100 ml + spray + capac</t>
        </is>
      </c>
      <c r="D13" s="133" t="inlineStr">
        <is>
          <t>100 ml</t>
        </is>
      </c>
      <c r="E13" s="133" t="inlineStr">
        <is>
          <t>Alb (din poza)</t>
        </is>
      </c>
      <c r="F13" s="133" t="inlineStr">
        <is>
          <t>MEBRA Solutie curatare maini 100ml; MEBRA loțiune pentru picioare 100 ml; TONIFOR loțiune tonică 100ml</t>
        </is>
      </c>
      <c r="G13" s="132" t="n"/>
      <c r="H13" s="134">
        <f>IFERROR(INDIRECT("'"&amp;G13&amp;"'!E26"),"")</f>
        <v/>
      </c>
      <c r="I13" s="135">
        <f>IFERROR(INDIRECT("'"&amp;G13&amp;"'!E27"),"")</f>
        <v/>
      </c>
      <c r="J13" s="136">
        <f>IFERROR(INDIRECT("'"&amp;G13&amp;"'!E28"),"")</f>
        <v/>
      </c>
      <c r="K13" s="137" t="n"/>
      <c r="L13" s="137" t="inlineStr">
        <is>
          <t>In curs</t>
        </is>
      </c>
      <c r="M13" s="138" t="n"/>
    </row>
    <row r="14" s="128">
      <c r="B14" s="132" t="n">
        <v>8</v>
      </c>
      <c r="C14" s="133" t="inlineStr">
        <is>
          <t>Flacon 50 ml + spray + capac</t>
        </is>
      </c>
      <c r="D14" s="133" t="inlineStr">
        <is>
          <t>50 ml</t>
        </is>
      </c>
      <c r="E14" s="133" t="inlineStr">
        <is>
          <t>Alb (din poza)</t>
        </is>
      </c>
      <c r="F14" s="133" t="inlineStr">
        <is>
          <t>MEBRA spray propolis și gălbenele 50ml; MEBRA spray propolis și coada șoricelului 50ml</t>
        </is>
      </c>
      <c r="G14" s="132" t="n"/>
      <c r="H14" s="134">
        <f>IFERROR(INDIRECT("'"&amp;G14&amp;"'!E26"),"")</f>
        <v/>
      </c>
      <c r="I14" s="135">
        <f>IFERROR(INDIRECT("'"&amp;G14&amp;"'!E27"),"")</f>
        <v/>
      </c>
      <c r="J14" s="136">
        <f>IFERROR(INDIRECT("'"&amp;G14&amp;"'!E28"),"")</f>
        <v/>
      </c>
      <c r="K14" s="137" t="n"/>
      <c r="L14" s="137" t="inlineStr">
        <is>
          <t>In curs</t>
        </is>
      </c>
      <c r="M14" s="138" t="n"/>
    </row>
    <row r="15" s="128">
      <c r="B15" s="132" t="n">
        <v>9</v>
      </c>
      <c r="C15" s="133" t="inlineStr">
        <is>
          <t>Recipient pudra 75 g + capac</t>
        </is>
      </c>
      <c r="D15" s="133" t="inlineStr">
        <is>
          <t>75 g</t>
        </is>
      </c>
      <c r="E15" s="133" t="inlineStr">
        <is>
          <t>Alb (recipient), capac colorat dupa produs, din poza</t>
        </is>
      </c>
      <c r="F15" s="133" t="inlineStr">
        <is>
          <t>MEBRA Pudră fructată 75g; MEBRA pudră mentolată 75g; MEBRA pudră propolis 75 g; MEBRA pudră mentolată împotriva transpirației 75 g; MEBRA pudră pentru copii cu portocale și cătină 75g</t>
        </is>
      </c>
      <c r="G15" s="132" t="n"/>
      <c r="H15" s="134">
        <f>IFERROR(INDIRECT("'"&amp;G15&amp;"'!E26"),"")</f>
        <v/>
      </c>
      <c r="I15" s="135">
        <f>IFERROR(INDIRECT("'"&amp;G15&amp;"'!E27"),"")</f>
        <v/>
      </c>
      <c r="J15" s="136">
        <f>IFERROR(INDIRECT("'"&amp;G15&amp;"'!E28"),"")</f>
        <v/>
      </c>
      <c r="K15" s="137" t="n"/>
      <c r="L15" s="137" t="inlineStr">
        <is>
          <t>In curs</t>
        </is>
      </c>
      <c r="M15" s="138" t="n"/>
    </row>
    <row r="16" s="128">
      <c r="B16" s="132" t="n">
        <v>10</v>
      </c>
      <c r="C16" s="133" t="inlineStr">
        <is>
          <t>Borcan 45 ml + capac</t>
        </is>
      </c>
      <c r="D16" s="133" t="inlineStr">
        <is>
          <t>45 ml</t>
        </is>
      </c>
      <c r="E16" s="133" t="inlineStr">
        <is>
          <t>Alb (borcan), capac galben / verde / rosu dupa produs, din poza</t>
        </is>
      </c>
      <c r="F16" s="133" t="inlineStr">
        <is>
          <t>MEBRA cremă cu gheara diavolului 45ml; MEBRA crema cu TATANEASA 45 ml; MEBRA cremă cu vitamina A 45ml</t>
        </is>
      </c>
      <c r="G16" s="132" t="n"/>
      <c r="H16" s="134">
        <f>IFERROR(INDIRECT("'"&amp;G16&amp;"'!E26"),"")</f>
        <v/>
      </c>
      <c r="I16" s="135">
        <f>IFERROR(INDIRECT("'"&amp;G16&amp;"'!E27"),"")</f>
        <v/>
      </c>
      <c r="J16" s="136">
        <f>IFERROR(INDIRECT("'"&amp;G16&amp;"'!E28"),"")</f>
        <v/>
      </c>
      <c r="K16" s="137" t="n"/>
      <c r="L16" s="137" t="inlineStr">
        <is>
          <t>In curs</t>
        </is>
      </c>
      <c r="M16" s="138" t="n"/>
    </row>
    <row r="17" s="128">
      <c r="B17" s="132" t="n">
        <v>11</v>
      </c>
      <c r="C17" s="133" t="inlineStr">
        <is>
          <t>Tub 100 ml + capac</t>
        </is>
      </c>
      <c r="D17" s="133" t="inlineStr">
        <is>
          <t>100 ml</t>
        </is>
      </c>
      <c r="E17" s="133" t="inlineStr">
        <is>
          <t>Alb (tub), capac rosu / galben dupa produs, din poza</t>
        </is>
      </c>
      <c r="F17" s="133" t="inlineStr">
        <is>
          <t>MEBRA cremă cu vitamina A 100ml; MEBRA cremă cu extract de gălbenele 100 ml</t>
        </is>
      </c>
      <c r="G17" s="132" t="n"/>
      <c r="H17" s="134">
        <f>IFERROR(INDIRECT("'"&amp;G17&amp;"'!E26"),"")</f>
        <v/>
      </c>
      <c r="I17" s="135">
        <f>IFERROR(INDIRECT("'"&amp;G17&amp;"'!E27"),"")</f>
        <v/>
      </c>
      <c r="J17" s="136">
        <f>IFERROR(INDIRECT("'"&amp;G17&amp;"'!E28"),"")</f>
        <v/>
      </c>
      <c r="K17" s="137" t="n"/>
      <c r="L17" s="137" t="inlineStr">
        <is>
          <t>In curs</t>
        </is>
      </c>
      <c r="M17" s="138" t="n"/>
    </row>
    <row r="18" s="128">
      <c r="B18" s="132" t="n">
        <v>12</v>
      </c>
      <c r="C18" s="133" t="inlineStr">
        <is>
          <t>Tub 75 ml + capac mare (tub asezat pe capac)</t>
        </is>
      </c>
      <c r="D18" s="133" t="inlineStr">
        <is>
          <t>75 ml</t>
        </is>
      </c>
      <c r="E18" s="133" t="inlineStr">
        <is>
          <t>Alb (din poza)</t>
        </is>
      </c>
      <c r="F18" s="133" t="inlineStr">
        <is>
          <t>ERITROACNOL cremă 75ml; ERITROACNOL gel 75ml</t>
        </is>
      </c>
      <c r="G18" s="132" t="n"/>
      <c r="H18" s="134">
        <f>IFERROR(INDIRECT("'"&amp;G18&amp;"'!E26"),"")</f>
        <v/>
      </c>
      <c r="I18" s="135">
        <f>IFERROR(INDIRECT("'"&amp;G18&amp;"'!E27"),"")</f>
        <v/>
      </c>
      <c r="J18" s="136">
        <f>IFERROR(INDIRECT("'"&amp;G18&amp;"'!E28"),"")</f>
        <v/>
      </c>
      <c r="K18" s="137" t="n"/>
      <c r="L18" s="137" t="inlineStr">
        <is>
          <t>In curs</t>
        </is>
      </c>
      <c r="M18" s="138" t="n"/>
    </row>
    <row r="19" s="128">
      <c r="B19" s="132" t="n">
        <v>13</v>
      </c>
      <c r="C19" s="133" t="inlineStr">
        <is>
          <t>Tub 75 ml + capac</t>
        </is>
      </c>
      <c r="D19" s="133" t="inlineStr">
        <is>
          <t>75 ml</t>
        </is>
      </c>
      <c r="E19" s="133" t="inlineStr">
        <is>
          <t>Alb (din poza)</t>
        </is>
      </c>
      <c r="F19" s="133" t="inlineStr">
        <is>
          <t>MEBRA balsam pentru picioare obosite 75ml; TONIFOR cremă tonică și relaxantă 75ml; MEBRA crema cu extract de CASTANE 75ml; TONIFOR arnica gel 75ml</t>
        </is>
      </c>
      <c r="G19" s="132" t="n"/>
      <c r="H19" s="134">
        <f>IFERROR(INDIRECT("'"&amp;G19&amp;"'!E26"),"")</f>
        <v/>
      </c>
      <c r="I19" s="135">
        <f>IFERROR(INDIRECT("'"&amp;G19&amp;"'!E27"),"")</f>
        <v/>
      </c>
      <c r="J19" s="136">
        <f>IFERROR(INDIRECT("'"&amp;G19&amp;"'!E28"),"")</f>
        <v/>
      </c>
      <c r="K19" s="137" t="n"/>
      <c r="L19" s="137" t="inlineStr">
        <is>
          <t>In curs</t>
        </is>
      </c>
      <c r="M19" s="138" t="n"/>
    </row>
    <row r="20" s="128">
      <c r="B20" s="132" t="n">
        <v>14</v>
      </c>
      <c r="C20" s="133" t="inlineStr">
        <is>
          <t>Tub 40 ml + capac</t>
        </is>
      </c>
      <c r="D20" s="133" t="inlineStr">
        <is>
          <t>40 ml</t>
        </is>
      </c>
      <c r="E20" s="133" t="inlineStr">
        <is>
          <t>Alb (din poza)</t>
        </is>
      </c>
      <c r="F20" s="133" t="inlineStr">
        <is>
          <t>MEBRA cremă cu vitamina A 40ml; MEBRA Cremă îngrijire călcâie 40ml</t>
        </is>
      </c>
      <c r="G20" s="132" t="n"/>
      <c r="H20" s="134">
        <f>IFERROR(INDIRECT("'"&amp;G20&amp;"'!E26"),"")</f>
        <v/>
      </c>
      <c r="I20" s="135">
        <f>IFERROR(INDIRECT("'"&amp;G20&amp;"'!E27"),"")</f>
        <v/>
      </c>
      <c r="J20" s="136">
        <f>IFERROR(INDIRECT("'"&amp;G20&amp;"'!E28"),"")</f>
        <v/>
      </c>
      <c r="K20" s="137" t="n"/>
      <c r="L20" s="137" t="inlineStr">
        <is>
          <t>In curs</t>
        </is>
      </c>
      <c r="M20" s="138" t="n"/>
    </row>
    <row r="21" s="128">
      <c r="B21" s="132" t="n">
        <v>15</v>
      </c>
      <c r="C21" s="133" t="inlineStr">
        <is>
          <t>Recipient aerosol 59,5 g + valva + capac (in cutie)</t>
        </is>
      </c>
      <c r="D21" s="133" t="inlineStr">
        <is>
          <t>59,5 g</t>
        </is>
      </c>
      <c r="E21" s="133" t="inlineStr">
        <is>
          <t>Alb (din poza)</t>
        </is>
      </c>
      <c r="F21" s="133" t="inlineStr">
        <is>
          <t>OXIMED Spray cutanat 59,5g</t>
        </is>
      </c>
      <c r="G21" s="132" t="n"/>
      <c r="H21" s="134">
        <f>IFERROR(INDIRECT("'"&amp;G21&amp;"'!E26"),"")</f>
        <v/>
      </c>
      <c r="I21" s="135">
        <f>IFERROR(INDIRECT("'"&amp;G21&amp;"'!E27"),"")</f>
        <v/>
      </c>
      <c r="J21" s="136">
        <f>IFERROR(INDIRECT("'"&amp;G21&amp;"'!E28"),"")</f>
        <v/>
      </c>
      <c r="K21" s="137" t="n"/>
      <c r="L21" s="137" t="inlineStr">
        <is>
          <t>In curs</t>
        </is>
      </c>
      <c r="M21" s="138" t="n"/>
    </row>
    <row r="22" s="128"/>
    <row r="23" s="128"/>
    <row r="24" ht="19.95" customHeight="1" s="128">
      <c r="C24" s="76" t="inlineStr">
        <is>
          <t>Rezumat (automat)</t>
        </is>
      </c>
      <c r="D24" s="73" t="inlineStr">
        <is>
          <t>Nr. unitati</t>
        </is>
      </c>
    </row>
    <row r="25" ht="19.95" customHeight="1" s="128">
      <c r="C25" s="74" t="inlineStr">
        <is>
          <t>Unitati analizate</t>
        </is>
      </c>
      <c r="D25" s="75">
        <f>COUNTIF(G7:G21,"?*")</f>
        <v/>
      </c>
    </row>
    <row r="26" ht="19.95" customHeight="1" s="128">
      <c r="C26" s="74" t="inlineStr">
        <is>
          <t>A</t>
        </is>
      </c>
      <c r="D26" s="75">
        <f>COUNTIF($J$7:$J$21,C26)</f>
        <v/>
      </c>
    </row>
    <row r="27" ht="19.95" customHeight="1" s="128">
      <c r="C27" s="74" t="inlineStr">
        <is>
          <t>B</t>
        </is>
      </c>
      <c r="D27" s="75">
        <f>COUNTIF($J$7:$J$21,C27)</f>
        <v/>
      </c>
    </row>
    <row r="28" ht="19.95" customHeight="1" s="128">
      <c r="C28" s="74" t="inlineStr">
        <is>
          <t>C</t>
        </is>
      </c>
      <c r="D28" s="75">
        <f>COUNTIF($J$7:$J$21,C28)</f>
        <v/>
      </c>
    </row>
    <row r="29" ht="19.95" customHeight="1" s="128">
      <c r="C29" s="74" t="inlineStr">
        <is>
          <t>Sub 70% - nereciclabil</t>
        </is>
      </c>
      <c r="D29" s="75">
        <f>COUNTIF($J$7:$J$21,C29)</f>
        <v/>
      </c>
    </row>
    <row r="30"/>
    <row r="31"/>
    <row r="32"/>
    <row r="33"/>
    <row r="34"/>
    <row r="35"/>
    <row r="36"/>
    <row r="37"/>
    <row r="38"/>
    <row r="39"/>
  </sheetData>
  <mergeCells count="2">
    <mergeCell ref="B4:K4"/>
    <mergeCell ref="B2:K2"/>
  </mergeCells>
  <conditionalFormatting sqref="G7:G21">
    <cfRule type="expression" priority="4" dxfId="3">
      <formula>AND($G7&lt;&gt;"",$H7="")</formula>
    </cfRule>
  </conditionalFormatting>
  <conditionalFormatting sqref="J7:J21">
    <cfRule type="expression" priority="1" dxfId="2">
      <formula>OR($J7="A",$J7="B")</formula>
    </cfRule>
    <cfRule type="expression" priority="2" dxfId="1">
      <formula>$J7="C"</formula>
    </cfRule>
    <cfRule type="expression" priority="3" dxfId="0">
      <formula>LEFT($J7,3)="Sub"</formula>
    </cfRule>
  </conditionalFormatting>
  <dataValidations count="2">
    <dataValidation sqref="K7:K21" showDropDown="0" showInputMessage="1" showErrorMessage="1" allowBlank="1" errorTitle="Prioritate" error="Alegeti: Mare, Medie sau Mica." type="list">
      <formula1>"Mare,Medie,Mica"</formula1>
    </dataValidation>
    <dataValidation sqref="L7:L21" showDropDown="0" showInputMessage="1" showErrorMessage="1" allowBlank="1" errorTitle="Stadiu analiza" error="Valoarea nu este in lista. Puteti continua daca este intentionat." type="list" errorStyle="information">
      <formula1>"Identificata,In completare,Completa,Oferta trimisa"</formula1>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N78"/>
  <sheetViews>
    <sheetView showGridLines="0" zoomScaleNormal="100" workbookViewId="0">
      <selection activeCell="B5" sqref="B5"/>
    </sheetView>
  </sheetViews>
  <sheetFormatPr baseColWidth="8" defaultColWidth="8.6640625" defaultRowHeight="14.4"/>
  <cols>
    <col width="3" customWidth="1" style="128" min="1" max="1"/>
    <col width="38.88671875" customWidth="1" style="128" min="2" max="2"/>
    <col width="18.5546875" customWidth="1" style="128" min="3" max="3"/>
    <col width="15.77734375" customWidth="1" style="128" min="4" max="4"/>
    <col width="11.44140625" customWidth="1" style="128" min="5" max="5"/>
    <col width="13" customWidth="1" style="128" min="6" max="6"/>
    <col width="12.5546875" customWidth="1" style="128" min="7" max="7"/>
    <col width="13.33203125" customWidth="1" style="128" min="8" max="8"/>
    <col width="15.77734375" customWidth="1" style="128" min="9" max="9"/>
    <col width="14.77734375" customWidth="1" style="128" min="10" max="10"/>
    <col width="17.5546875" customWidth="1" style="128" min="11" max="11"/>
    <col width="27.77734375" customWidth="1" style="128" min="12" max="12"/>
    <col width="11.109375" customWidth="1" style="128" min="13" max="13"/>
    <col width="25.88671875" customWidth="1" style="128" min="14" max="14"/>
    <col width="3" customWidth="1" style="128" min="15" max="15"/>
  </cols>
  <sheetData>
    <row r="1" ht="15" customHeight="1" s="128"/>
    <row r="2" ht="27.75" customHeight="1" s="128">
      <c r="B2" s="129" t="inlineStr">
        <is>
          <t>Fisa de analiza — unitate de ambalaj</t>
        </is>
      </c>
      <c r="C2" s="129" t="n"/>
      <c r="D2" s="129" t="n"/>
      <c r="E2" s="34" t="n"/>
      <c r="F2" s="34" t="n"/>
      <c r="G2" s="34" t="n"/>
      <c r="H2" s="34" t="n"/>
      <c r="I2" s="34" t="n"/>
      <c r="J2" s="34" t="n"/>
      <c r="K2" s="34" t="n"/>
      <c r="L2" s="34" t="n"/>
    </row>
    <row r="3" ht="19.5" customHeight="1" s="128">
      <c r="B3" s="35" t="inlineStr">
        <is>
          <t>1. Identificare unitate de ambalaj</t>
        </is>
      </c>
      <c r="C3" s="35" t="n"/>
      <c r="D3" s="35" t="n"/>
      <c r="E3" s="36" t="n"/>
      <c r="F3" s="36" t="n"/>
      <c r="G3" s="36" t="n"/>
      <c r="H3" s="36" t="n"/>
      <c r="I3" s="36" t="n"/>
      <c r="J3" s="36" t="n"/>
      <c r="K3" s="36" t="n"/>
      <c r="L3" s="36" t="n"/>
      <c r="M3" s="51" t="n"/>
      <c r="N3" s="51" t="n"/>
    </row>
    <row r="4" ht="31.95" customHeight="1" s="128">
      <c r="B4" s="52" t="inlineStr">
        <is>
          <t>Denumire unitate (pe baza componentelor)</t>
        </is>
      </c>
      <c r="C4" s="139" t="n"/>
      <c r="D4" s="140" t="n"/>
      <c r="E4" s="140" t="n"/>
      <c r="F4" s="140" t="n"/>
      <c r="G4" s="140" t="n"/>
      <c r="H4" s="140" t="n"/>
      <c r="I4" s="140" t="n"/>
      <c r="J4" s="140" t="n"/>
      <c r="K4" s="140" t="n"/>
      <c r="L4" s="141" t="n"/>
      <c r="M4" s="55" t="n"/>
      <c r="N4" s="55" t="n"/>
    </row>
    <row r="5" ht="31.95" customHeight="1" s="128">
      <c r="B5" s="52" t="inlineStr">
        <is>
          <t>Furnizor/configuratie de referinta (daca exista)</t>
        </is>
      </c>
      <c r="C5" s="142" t="n"/>
      <c r="D5" s="143" t="n"/>
      <c r="E5" s="143" t="n"/>
      <c r="F5" s="143" t="n"/>
      <c r="G5" s="143" t="n"/>
      <c r="H5" s="143" t="n"/>
      <c r="I5" s="143" t="n"/>
      <c r="J5" s="143" t="n"/>
      <c r="K5" s="143" t="n"/>
      <c r="L5" s="144" t="n"/>
      <c r="M5" s="55" t="n"/>
      <c r="N5" s="55" t="n"/>
    </row>
    <row r="6" ht="30" customHeight="1" s="128">
      <c r="B6" s="52" t="inlineStr">
        <is>
          <t>Capacitate nominala (ml / g)</t>
        </is>
      </c>
      <c r="C6" s="145" t="n"/>
      <c r="D6" s="143" t="n"/>
      <c r="E6" s="143" t="n"/>
      <c r="F6" s="143" t="n"/>
      <c r="G6" s="143" t="n"/>
      <c r="H6" s="143" t="n"/>
      <c r="I6" s="143" t="n"/>
      <c r="J6" s="143" t="n"/>
      <c r="K6" s="143" t="n"/>
      <c r="L6" s="144" t="n"/>
      <c r="M6" s="55" t="n"/>
      <c r="N6" s="55" t="n"/>
    </row>
    <row r="7" ht="34.05" customHeight="1" s="128">
      <c r="B7" s="52" t="inlineStr">
        <is>
          <t>Dimensiuni principale (diametru x inaltime, mm)</t>
        </is>
      </c>
      <c r="C7" s="145" t="n"/>
      <c r="D7" s="143" t="n"/>
      <c r="E7" s="143" t="n"/>
      <c r="F7" s="143" t="n"/>
      <c r="G7" s="143" t="n"/>
      <c r="H7" s="143" t="n"/>
      <c r="I7" s="143" t="n"/>
      <c r="J7" s="143" t="n"/>
      <c r="K7" s="143" t="n"/>
      <c r="L7" s="144" t="n"/>
      <c r="M7" s="55" t="n"/>
      <c r="N7" s="55" t="n"/>
    </row>
    <row r="8" ht="34.05" customHeight="1" s="128">
      <c r="B8" s="52" t="inlineStr">
        <is>
          <t>Documente disponibile (fisa tehnica, desen, poze, declaratii)</t>
        </is>
      </c>
      <c r="C8" s="145" t="n"/>
      <c r="D8" s="143" t="n"/>
      <c r="E8" s="143" t="n"/>
      <c r="F8" s="143" t="n"/>
      <c r="G8" s="143" t="n"/>
      <c r="H8" s="143" t="n"/>
      <c r="I8" s="143" t="n"/>
      <c r="J8" s="143" t="n"/>
      <c r="K8" s="143" t="n"/>
      <c r="L8" s="144" t="n"/>
      <c r="M8" s="55" t="n"/>
      <c r="N8" s="55" t="n"/>
    </row>
    <row r="9" ht="19.5" customHeight="1" s="128">
      <c r="B9" s="35" t="inlineStr">
        <is>
          <t>2. Produse / SKU-uri care folosesc aceasta unitate</t>
        </is>
      </c>
      <c r="C9" s="35" t="n"/>
      <c r="D9" s="35" t="n"/>
      <c r="E9" s="36" t="n"/>
      <c r="F9" s="36" t="n"/>
      <c r="G9" s="36" t="n"/>
      <c r="H9" s="36" t="n"/>
      <c r="I9" s="36" t="n"/>
      <c r="J9" s="36" t="n"/>
      <c r="K9" s="36" t="n"/>
      <c r="L9" s="36" t="n"/>
      <c r="M9" s="51" t="n"/>
      <c r="N9" s="51" t="n"/>
    </row>
    <row r="10" ht="30" customHeight="1" s="128">
      <c r="B10" s="3" t="inlineStr">
        <is>
          <t>Denumire produs / SKU</t>
        </is>
      </c>
      <c r="C10" s="102" t="inlineStr">
        <is>
          <t>Volum anual estimat (buc/an)</t>
        </is>
      </c>
      <c r="D10" s="102" t="inlineStr">
        <is>
          <t>Frecventa comenzilor</t>
        </is>
      </c>
      <c r="E10" s="102" t="inlineStr">
        <is>
          <t>Observatii</t>
        </is>
      </c>
      <c r="F10" s="146" t="n"/>
      <c r="G10" s="146" t="n"/>
      <c r="H10" s="146" t="n"/>
      <c r="I10" s="146" t="n"/>
      <c r="J10" s="146" t="n"/>
      <c r="K10" s="146" t="n"/>
      <c r="L10" s="146" t="n"/>
      <c r="M10" s="50" t="n"/>
      <c r="N10" s="50" t="n"/>
    </row>
    <row r="11" ht="30" customHeight="1" s="128">
      <c r="B11" s="42" t="n"/>
      <c r="C11" s="67" t="n"/>
      <c r="D11" s="53" t="n"/>
      <c r="E11" s="104" t="n"/>
      <c r="F11" s="143" t="n"/>
      <c r="G11" s="143" t="n"/>
      <c r="H11" s="143" t="n"/>
      <c r="I11" s="143" t="n"/>
      <c r="J11" s="143" t="n"/>
      <c r="K11" s="143" t="n"/>
      <c r="L11" s="143" t="n"/>
      <c r="M11" s="55" t="n"/>
      <c r="N11" s="55" t="n"/>
    </row>
    <row r="12" ht="30" customHeight="1" s="128">
      <c r="B12" s="42" t="n"/>
      <c r="C12" s="67" t="n"/>
      <c r="D12" s="53" t="n"/>
      <c r="E12" s="104" t="n"/>
      <c r="F12" s="143" t="n"/>
      <c r="G12" s="143" t="n"/>
      <c r="H12" s="143" t="n"/>
      <c r="I12" s="143" t="n"/>
      <c r="J12" s="143" t="n"/>
      <c r="K12" s="143" t="n"/>
      <c r="L12" s="143" t="n"/>
      <c r="M12" s="55" t="n"/>
      <c r="N12" s="55" t="n"/>
    </row>
    <row r="13" ht="30" customHeight="1" s="128">
      <c r="B13" s="42" t="n"/>
      <c r="C13" s="67" t="n"/>
      <c r="D13" s="53" t="n"/>
      <c r="E13" s="104" t="n"/>
      <c r="F13" s="143" t="n"/>
      <c r="G13" s="143" t="n"/>
      <c r="H13" s="143" t="n"/>
      <c r="I13" s="143" t="n"/>
      <c r="J13" s="143" t="n"/>
      <c r="K13" s="143" t="n"/>
      <c r="L13" s="143" t="n"/>
      <c r="M13" s="55" t="n"/>
      <c r="N13" s="55" t="n"/>
    </row>
    <row r="14" ht="30" customHeight="1" s="128">
      <c r="B14" s="64" t="n"/>
      <c r="C14" s="68" t="n"/>
      <c r="D14" s="53" t="n"/>
      <c r="E14" s="104" t="n"/>
      <c r="F14" s="143" t="n"/>
      <c r="G14" s="143" t="n"/>
      <c r="H14" s="143" t="n"/>
      <c r="I14" s="143" t="n"/>
      <c r="J14" s="143" t="n"/>
      <c r="K14" s="143" t="n"/>
      <c r="L14" s="143" t="n"/>
      <c r="M14" s="55" t="n"/>
      <c r="N14" s="55" t="n"/>
    </row>
    <row r="15" ht="24" customHeight="1" s="128">
      <c r="B15" s="65" t="inlineStr">
        <is>
          <t>TOTAL volum anual unitate (automat)</t>
        </is>
      </c>
      <c r="C15" s="66">
        <f>SUM(C11:C14)</f>
        <v/>
      </c>
    </row>
    <row r="16" ht="19.5" customHeight="1" s="128">
      <c r="B16" s="35" t="inlineStr">
        <is>
          <t>3. Componentele unitatii de ambalaj</t>
        </is>
      </c>
      <c r="C16" s="35" t="n"/>
      <c r="D16" s="35" t="n"/>
      <c r="E16" s="35" t="n"/>
      <c r="F16" s="35" t="n"/>
      <c r="G16" s="35" t="n"/>
      <c r="H16" s="35" t="n"/>
      <c r="I16" s="35" t="n"/>
      <c r="J16" s="35" t="n"/>
      <c r="K16" s="35" t="n"/>
      <c r="L16" s="35" t="n"/>
      <c r="M16" s="63" t="n"/>
      <c r="N16" s="63" t="n"/>
    </row>
    <row r="17" ht="49.95" customHeight="1" s="128">
      <c r="B17" s="3" t="inlineStr">
        <is>
          <t>Denumire componenta</t>
        </is>
      </c>
      <c r="C17" s="3" t="inlineStr">
        <is>
          <t>Material</t>
        </is>
      </c>
      <c r="D17" s="3" t="inlineStr">
        <is>
          <t>Culoare</t>
        </is>
      </c>
      <c r="E17" s="3" t="inlineStr">
        <is>
          <t>Greutate (g)</t>
        </is>
      </c>
      <c r="F17" s="3" t="inlineStr">
        <is>
          <t>% reciclabil (0-100%)</t>
        </is>
      </c>
      <c r="G17" s="3" t="inlineStr">
        <is>
          <t>Masa reciclabila (g)</t>
        </is>
      </c>
      <c r="H17" s="3" t="inlineStr">
        <is>
          <t>% continut reciclat (PCR)</t>
        </is>
      </c>
      <c r="I17" s="3" t="inlineStr">
        <is>
          <t>Furnizor</t>
        </is>
      </c>
      <c r="J17" s="3" t="inlineStr">
        <is>
          <t>Tara origine</t>
        </is>
      </c>
      <c r="K17" s="3" t="inlineStr">
        <is>
          <t>Pret unitar (EUR / 1000 buc)</t>
        </is>
      </c>
      <c r="L17" s="102" t="inlineStr">
        <is>
          <t>Observatii / risc</t>
        </is>
      </c>
    </row>
    <row r="18" ht="18" customHeight="1" s="128">
      <c r="B18" s="43" t="n"/>
      <c r="C18" s="44" t="n"/>
      <c r="D18" s="44" t="n"/>
      <c r="E18" s="44" t="n"/>
      <c r="F18" s="45" t="n"/>
      <c r="G18" s="147">
        <f>IF(OR(E18="",F18=""),"",E18*F18)</f>
        <v/>
      </c>
      <c r="H18" s="45" t="n"/>
      <c r="I18" s="44" t="n"/>
      <c r="J18" s="44" t="n"/>
      <c r="K18" s="69" t="n"/>
      <c r="L18" s="59" t="n"/>
    </row>
    <row r="19" ht="18" customHeight="1" s="128">
      <c r="B19" s="43" t="n"/>
      <c r="C19" s="44" t="n"/>
      <c r="D19" s="44" t="n"/>
      <c r="E19" s="44" t="n"/>
      <c r="F19" s="45" t="n"/>
      <c r="G19" s="147">
        <f>IF(OR(E19="",F19=""),"",E19*F19)</f>
        <v/>
      </c>
      <c r="H19" s="45" t="n"/>
      <c r="I19" s="44" t="n"/>
      <c r="J19" s="44" t="n"/>
      <c r="K19" s="69" t="n"/>
      <c r="L19" s="59" t="n"/>
    </row>
    <row r="20" ht="18" customHeight="1" s="128">
      <c r="B20" s="43" t="n"/>
      <c r="C20" s="44" t="n"/>
      <c r="D20" s="44" t="n"/>
      <c r="E20" s="44" t="n"/>
      <c r="F20" s="45" t="n"/>
      <c r="G20" s="147">
        <f>IF(OR(E20="",F20=""),"",E20*F20)</f>
        <v/>
      </c>
      <c r="H20" s="45" t="n"/>
      <c r="I20" s="44" t="n"/>
      <c r="J20" s="44" t="n"/>
      <c r="K20" s="69" t="n"/>
      <c r="L20" s="59" t="n"/>
    </row>
    <row r="21" ht="18" customHeight="1" s="128">
      <c r="B21" s="43" t="n"/>
      <c r="C21" s="44" t="n"/>
      <c r="D21" s="44" t="n"/>
      <c r="E21" s="44" t="n"/>
      <c r="F21" s="45" t="n"/>
      <c r="G21" s="147">
        <f>IF(OR(E21="",F21=""),"",E21*F21)</f>
        <v/>
      </c>
      <c r="H21" s="45" t="n"/>
      <c r="I21" s="44" t="n"/>
      <c r="J21" s="44" t="n"/>
      <c r="K21" s="69" t="n"/>
      <c r="L21" s="59" t="n"/>
    </row>
    <row r="22" ht="18" customHeight="1" s="128">
      <c r="B22" s="43" t="n"/>
      <c r="C22" s="44" t="n"/>
      <c r="D22" s="44" t="n"/>
      <c r="E22" s="44" t="n"/>
      <c r="F22" s="45" t="n"/>
      <c r="G22" s="147">
        <f>IF(OR(E22="",F22=""),"",E22*F22)</f>
        <v/>
      </c>
      <c r="H22" s="45" t="n"/>
      <c r="I22" s="44" t="n"/>
      <c r="J22" s="44" t="n"/>
      <c r="K22" s="69" t="n"/>
      <c r="L22" s="59" t="n"/>
    </row>
    <row r="23" ht="18" customHeight="1" s="128">
      <c r="B23" s="43" t="n"/>
      <c r="C23" s="44" t="n"/>
      <c r="D23" s="44" t="n"/>
      <c r="E23" s="44" t="n"/>
      <c r="F23" s="45" t="n"/>
      <c r="G23" s="147">
        <f>IF(OR(E23="",F23=""),"",E23*F23)</f>
        <v/>
      </c>
      <c r="H23" s="45" t="n"/>
      <c r="I23" s="44" t="n"/>
      <c r="J23" s="44" t="n"/>
      <c r="K23" s="69" t="n"/>
      <c r="L23" s="59" t="n"/>
    </row>
    <row r="24" ht="18" customHeight="1" s="128">
      <c r="B24" s="43" t="n"/>
      <c r="C24" s="44" t="n"/>
      <c r="D24" s="44" t="n"/>
      <c r="E24" s="44" t="n"/>
      <c r="F24" s="45" t="n"/>
      <c r="G24" s="147">
        <f>IF(OR(E24="",F24=""),"",E24*F24)</f>
        <v/>
      </c>
      <c r="H24" s="45" t="n"/>
      <c r="I24" s="44" t="n"/>
      <c r="J24" s="44" t="n"/>
      <c r="K24" s="69" t="n"/>
      <c r="L24" s="59" t="n"/>
    </row>
    <row r="25" ht="18" customHeight="1" s="128">
      <c r="B25" s="43" t="n"/>
      <c r="C25" s="44" t="n"/>
      <c r="D25" s="44" t="n"/>
      <c r="E25" s="44" t="n"/>
      <c r="F25" s="45" t="n"/>
      <c r="G25" s="147">
        <f>IF(OR(E25="",F25=""),"",E25*F25)</f>
        <v/>
      </c>
      <c r="H25" s="45" t="n"/>
      <c r="I25" s="44" t="n"/>
      <c r="J25" s="44" t="n"/>
      <c r="K25" s="69" t="n"/>
      <c r="L25" s="59" t="n"/>
    </row>
    <row r="26" ht="19.5" customHeight="1" s="128">
      <c r="B26" s="116" t="inlineStr">
        <is>
          <t>TOTAL unitate (greutate si masa reciclabila)</t>
        </is>
      </c>
      <c r="C26" s="146" t="n"/>
      <c r="D26" s="131" t="n"/>
      <c r="E26" s="148">
        <f>SUM(E18:E25)</f>
        <v/>
      </c>
      <c r="F26" s="40" t="n"/>
      <c r="G26" s="148">
        <f>SUM(G18:G25)</f>
        <v/>
      </c>
      <c r="H26" s="40" t="n"/>
      <c r="I26" s="40" t="n"/>
      <c r="J26" s="40" t="n"/>
      <c r="K26" s="40" t="n"/>
      <c r="L26" s="60" t="n"/>
      <c r="M26" s="61" t="n"/>
      <c r="N26" s="61" t="n"/>
    </row>
    <row r="27" ht="19.5" customHeight="1" s="128">
      <c r="B27" s="116" t="inlineStr">
        <is>
          <t>% reciclabil ponderat pe greutate (automat)</t>
        </is>
      </c>
      <c r="C27" s="146" t="n"/>
      <c r="D27" s="131" t="n"/>
      <c r="E27" s="149">
        <f>IFERROR(G26/E26,"-")</f>
        <v/>
      </c>
    </row>
    <row r="28" ht="30" customHeight="1" s="128">
      <c r="B28" s="116" t="inlineStr">
        <is>
          <t>Clasa de reciclabilitate calculata (A ≥95% / B ≥80% / C ≥70%)</t>
        </is>
      </c>
      <c r="C28" s="146" t="n"/>
      <c r="D28" s="131" t="n"/>
      <c r="E28" s="150">
        <f>IF(NOT(ISNUMBER(E27)),"-",IF(E27&gt;=0.95,"A",IF(E27&gt;=0.8,"B",IF(E27&gt;=0.7,"C","Sub 70% - nereciclabil"))))</f>
        <v/>
      </c>
      <c r="F28" s="146" t="n"/>
      <c r="G28" s="131" t="n"/>
    </row>
    <row r="29" ht="34.05" customHeight="1" s="128">
      <c r="B29" s="151" t="inlineStr">
        <is>
          <t>Cost total componente (EUR / 1000 buc) - suma preturilor completate (automat)</t>
        </is>
      </c>
      <c r="C29" s="146" t="n"/>
      <c r="D29" s="131" t="n"/>
      <c r="E29" s="152">
        <f>SUM(K18:K25)</f>
        <v/>
      </c>
      <c r="F29" s="146" t="n"/>
      <c r="G29" s="131" t="n"/>
      <c r="H29" s="70" t="n"/>
      <c r="I29" s="70" t="n"/>
      <c r="J29" s="70" t="n"/>
      <c r="K29" s="70" t="n"/>
      <c r="L29" s="70" t="n"/>
    </row>
    <row r="30" ht="34.05" customHeight="1" s="128">
      <c r="B30" s="151" t="inlineStr">
        <is>
          <t>Material total pus pe piata (kg/an) = greutate x volum anual (automat)</t>
        </is>
      </c>
      <c r="C30" s="146" t="n"/>
      <c r="D30" s="131" t="n"/>
      <c r="E30" s="153">
        <f>IF(OR(N(C15)=0,N(E26)=0),"-",E26*C15/1000)</f>
        <v/>
      </c>
      <c r="F30" s="146" t="n"/>
      <c r="G30" s="131" t="n"/>
      <c r="H30" s="70" t="n"/>
      <c r="I30" s="70" t="n"/>
      <c r="J30" s="70" t="n"/>
      <c r="K30" s="70" t="n"/>
      <c r="L30" s="70" t="n"/>
    </row>
    <row r="32" ht="19.5" customHeight="1" s="128">
      <c r="B32" s="35" t="inlineStr">
        <is>
          <t>4. Cerintele produsului/produselor ambalate</t>
        </is>
      </c>
      <c r="C32" s="35" t="n"/>
      <c r="D32" s="35" t="n"/>
      <c r="E32" s="36" t="n"/>
      <c r="F32" s="36" t="n"/>
      <c r="G32" s="36" t="n"/>
      <c r="H32" s="36" t="n"/>
      <c r="I32" s="36" t="n"/>
      <c r="J32" s="36" t="n"/>
      <c r="K32" s="36" t="n"/>
      <c r="L32" s="36" t="n"/>
      <c r="M32" s="51" t="n"/>
      <c r="N32" s="51" t="n"/>
    </row>
    <row r="33" ht="30" customHeight="1" s="128">
      <c r="B33" s="112" t="inlineStr">
        <is>
          <t>Daca SKU-urile din sectiunea 2 au cerinte diferite, noteaza diferentele in coloana 'Observatii' din tabelul SKU-urilor.</t>
        </is>
      </c>
      <c r="C33" s="154" t="n"/>
      <c r="D33" s="154" t="n"/>
      <c r="E33" s="154" t="n"/>
      <c r="F33" s="154" t="n"/>
      <c r="G33" s="154" t="n"/>
      <c r="H33" s="154" t="n"/>
      <c r="I33" s="154" t="n"/>
      <c r="J33" s="154" t="n"/>
      <c r="K33" s="154" t="n"/>
      <c r="L33" s="154" t="n"/>
      <c r="M33" s="82" t="n"/>
      <c r="N33" s="82" t="n"/>
    </row>
    <row r="34" ht="31.95" customHeight="1" s="128">
      <c r="B34" s="52" t="inlineStr">
        <is>
          <t>Tip produs (lichid / crema-gel / pudra / solid / altul)</t>
        </is>
      </c>
      <c r="C34" s="139" t="n"/>
      <c r="D34" s="140" t="n"/>
      <c r="E34" s="140" t="n"/>
      <c r="F34" s="140" t="n"/>
      <c r="G34" s="140" t="n"/>
      <c r="H34" s="140" t="n"/>
      <c r="I34" s="140" t="n"/>
      <c r="J34" s="140" t="n"/>
      <c r="K34" s="140" t="n"/>
      <c r="L34" s="141" t="n"/>
      <c r="M34" s="55" t="n"/>
      <c r="N34" s="55" t="n"/>
    </row>
    <row r="35" ht="46.95" customHeight="1" s="128">
      <c r="B35" s="52" t="inlineStr">
        <is>
          <t>Categorie reglementata a produsului (alimentar / farma / cosmetic / supliment / altul)</t>
        </is>
      </c>
      <c r="C35" s="145" t="n"/>
      <c r="D35" s="143" t="n"/>
      <c r="E35" s="143" t="n"/>
      <c r="F35" s="143" t="n"/>
      <c r="G35" s="143" t="n"/>
      <c r="H35" s="143" t="n"/>
      <c r="I35" s="143" t="n"/>
      <c r="J35" s="143" t="n"/>
      <c r="K35" s="143" t="n"/>
      <c r="L35" s="144" t="n"/>
      <c r="M35" s="55" t="n"/>
      <c r="N35" s="55" t="n"/>
    </row>
    <row r="36" ht="46.95" customHeight="1" s="128">
      <c r="B36" s="52" t="inlineStr">
        <is>
          <t>Functii cerute ambalajului (pompa, picurator, spray, flip-top, sigiliu, protectie copii)</t>
        </is>
      </c>
      <c r="C36" s="145" t="n"/>
      <c r="D36" s="143" t="n"/>
      <c r="E36" s="143" t="n"/>
      <c r="F36" s="143" t="n"/>
      <c r="G36" s="143" t="n"/>
      <c r="H36" s="143" t="n"/>
      <c r="I36" s="143" t="n"/>
      <c r="J36" s="143" t="n"/>
      <c r="K36" s="143" t="n"/>
      <c r="L36" s="144" t="n"/>
      <c r="M36" s="55" t="n"/>
      <c r="N36" s="55" t="n"/>
    </row>
    <row r="37" ht="30" customHeight="1" s="128">
      <c r="B37" s="52" t="inlineStr">
        <is>
          <t>Sensibilitate la oxigen</t>
        </is>
      </c>
      <c r="C37" s="139" t="n"/>
      <c r="D37" s="140" t="n"/>
      <c r="E37" s="140" t="n"/>
      <c r="F37" s="140" t="n"/>
      <c r="G37" s="140" t="n"/>
      <c r="H37" s="140" t="n"/>
      <c r="I37" s="140" t="n"/>
      <c r="J37" s="140" t="n"/>
      <c r="K37" s="140" t="n"/>
      <c r="L37" s="141" t="n"/>
      <c r="M37" s="55" t="n"/>
      <c r="N37" s="55" t="n"/>
    </row>
    <row r="38" ht="30" customHeight="1" s="128">
      <c r="B38" s="52" t="inlineStr">
        <is>
          <t>Sensibilitate la lumina / UV</t>
        </is>
      </c>
      <c r="C38" s="139" t="n"/>
      <c r="D38" s="140" t="n"/>
      <c r="E38" s="140" t="n"/>
      <c r="F38" s="140" t="n"/>
      <c r="G38" s="140" t="n"/>
      <c r="H38" s="140" t="n"/>
      <c r="I38" s="140" t="n"/>
      <c r="J38" s="140" t="n"/>
      <c r="K38" s="140" t="n"/>
      <c r="L38" s="141" t="n"/>
      <c r="M38" s="55" t="n"/>
      <c r="N38" s="55" t="n"/>
    </row>
    <row r="39" ht="30" customHeight="1" s="128">
      <c r="B39" s="52" t="inlineStr">
        <is>
          <t>Sensibilitate la umiditate</t>
        </is>
      </c>
      <c r="C39" s="139" t="n"/>
      <c r="D39" s="140" t="n"/>
      <c r="E39" s="140" t="n"/>
      <c r="F39" s="140" t="n"/>
      <c r="G39" s="140" t="n"/>
      <c r="H39" s="140" t="n"/>
      <c r="I39" s="140" t="n"/>
      <c r="J39" s="140" t="n"/>
      <c r="K39" s="140" t="n"/>
      <c r="L39" s="141" t="n"/>
      <c r="M39" s="55" t="n"/>
      <c r="N39" s="55" t="n"/>
    </row>
    <row r="40" ht="31.95" customHeight="1" s="128">
      <c r="B40" s="52" t="inlineStr">
        <is>
          <t>Compatibilitate chimica necesara (grasimi, alcool, acizi, uleiuri)</t>
        </is>
      </c>
      <c r="C40" s="139" t="n"/>
      <c r="D40" s="140" t="n"/>
      <c r="E40" s="140" t="n"/>
      <c r="F40" s="140" t="n"/>
      <c r="G40" s="140" t="n"/>
      <c r="H40" s="140" t="n"/>
      <c r="I40" s="140" t="n"/>
      <c r="J40" s="140" t="n"/>
      <c r="K40" s="140" t="n"/>
      <c r="L40" s="141" t="n"/>
      <c r="M40" s="55" t="n"/>
      <c r="N40" s="55" t="n"/>
    </row>
    <row r="41" ht="30" customHeight="1" s="128">
      <c r="B41" s="52" t="inlineStr">
        <is>
          <t>Temperatura de umplere</t>
        </is>
      </c>
      <c r="C41" s="139" t="n"/>
      <c r="D41" s="140" t="n"/>
      <c r="E41" s="140" t="n"/>
      <c r="F41" s="140" t="n"/>
      <c r="G41" s="140" t="n"/>
      <c r="H41" s="140" t="n"/>
      <c r="I41" s="140" t="n"/>
      <c r="J41" s="140" t="n"/>
      <c r="K41" s="140" t="n"/>
      <c r="L41" s="141" t="n"/>
      <c r="M41" s="55" t="n"/>
      <c r="N41" s="55" t="n"/>
    </row>
    <row r="42" ht="30" customHeight="1" s="128">
      <c r="B42" s="52" t="inlineStr">
        <is>
          <t>Temperatura / conditii de depozitare</t>
        </is>
      </c>
      <c r="C42" s="139" t="n"/>
      <c r="D42" s="140" t="n"/>
      <c r="E42" s="140" t="n"/>
      <c r="F42" s="140" t="n"/>
      <c r="G42" s="140" t="n"/>
      <c r="H42" s="140" t="n"/>
      <c r="I42" s="140" t="n"/>
      <c r="J42" s="140" t="n"/>
      <c r="K42" s="140" t="n"/>
      <c r="L42" s="141" t="n"/>
      <c r="M42" s="55" t="n"/>
      <c r="N42" s="55" t="n"/>
    </row>
    <row r="43" ht="30" customHeight="1" s="128">
      <c r="B43" s="52" t="inlineStr">
        <is>
          <t>Valabilitate / shelf-life dorita</t>
        </is>
      </c>
      <c r="C43" s="142" t="n"/>
      <c r="D43" s="143" t="n"/>
      <c r="E43" s="143" t="n"/>
      <c r="F43" s="143" t="n"/>
      <c r="G43" s="143" t="n"/>
      <c r="H43" s="143" t="n"/>
      <c r="I43" s="143" t="n"/>
      <c r="J43" s="143" t="n"/>
      <c r="K43" s="143" t="n"/>
      <c r="L43" s="144" t="n"/>
      <c r="M43" s="55" t="n"/>
      <c r="N43" s="55" t="n"/>
    </row>
    <row r="45" ht="19.5" customHeight="1" s="128">
      <c r="B45" s="35" t="inlineStr">
        <is>
          <t>5. Procesul de ambalare si utilajele clientului</t>
        </is>
      </c>
      <c r="C45" s="35" t="n"/>
      <c r="D45" s="35" t="n"/>
      <c r="E45" s="36" t="n"/>
      <c r="F45" s="36" t="n"/>
      <c r="G45" s="36" t="n"/>
      <c r="H45" s="36" t="n"/>
      <c r="I45" s="36" t="n"/>
      <c r="J45" s="36" t="n"/>
      <c r="K45" s="36" t="n"/>
      <c r="L45" s="36" t="n"/>
      <c r="M45" s="51" t="n"/>
      <c r="N45" s="51" t="n"/>
    </row>
    <row r="46" ht="31.95" customHeight="1" s="128">
      <c r="B46" s="52" t="inlineStr">
        <is>
          <t>Tip linie de ambalare (automata / semi-automata / manuala)</t>
        </is>
      </c>
      <c r="C46" s="139" t="n"/>
      <c r="D46" s="140" t="n"/>
      <c r="E46" s="140" t="n"/>
      <c r="F46" s="140" t="n"/>
      <c r="G46" s="140" t="n"/>
      <c r="H46" s="140" t="n"/>
      <c r="I46" s="140" t="n"/>
      <c r="J46" s="140" t="n"/>
      <c r="K46" s="140" t="n"/>
      <c r="L46" s="141" t="n"/>
      <c r="M46" s="55" t="n"/>
      <c r="N46" s="55" t="n"/>
    </row>
    <row r="47" ht="30" customHeight="1" s="128">
      <c r="B47" s="52" t="inlineStr">
        <is>
          <t>Viteza linie (buc/min)</t>
        </is>
      </c>
      <c r="C47" s="139" t="n"/>
      <c r="D47" s="140" t="n"/>
      <c r="E47" s="140" t="n"/>
      <c r="F47" s="140" t="n"/>
      <c r="G47" s="140" t="n"/>
      <c r="H47" s="140" t="n"/>
      <c r="I47" s="140" t="n"/>
      <c r="J47" s="140" t="n"/>
      <c r="K47" s="140" t="n"/>
      <c r="L47" s="141" t="n"/>
      <c r="M47" s="55" t="n"/>
      <c r="N47" s="55" t="n"/>
    </row>
    <row r="48" ht="31.95" customHeight="1" s="128">
      <c r="B48" s="52" t="inlineStr">
        <is>
          <t>Tip umplere (volumetrica, la rece/cald, aseptica)</t>
        </is>
      </c>
      <c r="C48" s="139" t="n"/>
      <c r="D48" s="140" t="n"/>
      <c r="E48" s="140" t="n"/>
      <c r="F48" s="140" t="n"/>
      <c r="G48" s="140" t="n"/>
      <c r="H48" s="140" t="n"/>
      <c r="I48" s="140" t="n"/>
      <c r="J48" s="140" t="n"/>
      <c r="K48" s="140" t="n"/>
      <c r="L48" s="141" t="n"/>
      <c r="M48" s="55" t="n"/>
      <c r="N48" s="55" t="n"/>
    </row>
    <row r="49" ht="31.95" customHeight="1" s="128">
      <c r="B49" s="52" t="inlineStr">
        <is>
          <t>Tip inchidere folosit pe linie (infoliere, capsare, presare, inductie)</t>
        </is>
      </c>
      <c r="C49" s="139" t="n"/>
      <c r="D49" s="140" t="n"/>
      <c r="E49" s="140" t="n"/>
      <c r="F49" s="140" t="n"/>
      <c r="G49" s="140" t="n"/>
      <c r="H49" s="140" t="n"/>
      <c r="I49" s="140" t="n"/>
      <c r="J49" s="140" t="n"/>
      <c r="K49" s="140" t="n"/>
      <c r="L49" s="141" t="n"/>
      <c r="M49" s="55" t="n"/>
      <c r="N49" s="55" t="n"/>
    </row>
    <row r="50" ht="31.95" customHeight="1" s="128">
      <c r="B50" s="52" t="inlineStr">
        <is>
          <t>Cod gat / finisaj compatibil cu echipamentul existent</t>
        </is>
      </c>
      <c r="C50" s="139" t="n"/>
      <c r="D50" s="140" t="n"/>
      <c r="E50" s="140" t="n"/>
      <c r="F50" s="140" t="n"/>
      <c r="G50" s="140" t="n"/>
      <c r="H50" s="140" t="n"/>
      <c r="I50" s="140" t="n"/>
      <c r="J50" s="140" t="n"/>
      <c r="K50" s="140" t="n"/>
      <c r="L50" s="141" t="n"/>
      <c r="M50" s="55" t="n"/>
      <c r="N50" s="55" t="n"/>
    </row>
    <row r="51" ht="31.95" customHeight="1" s="128">
      <c r="B51" s="52" t="inlineStr">
        <is>
          <t>Tip etichetare folosit (aplicator rece/cald, sleeve, manual)</t>
        </is>
      </c>
      <c r="C51" s="139" t="n"/>
      <c r="D51" s="140" t="n"/>
      <c r="E51" s="140" t="n"/>
      <c r="F51" s="140" t="n"/>
      <c r="G51" s="140" t="n"/>
      <c r="H51" s="140" t="n"/>
      <c r="I51" s="140" t="n"/>
      <c r="J51" s="140" t="n"/>
      <c r="K51" s="140" t="n"/>
      <c r="L51" s="141" t="n"/>
      <c r="M51" s="55" t="n"/>
      <c r="N51" s="55" t="n"/>
    </row>
    <row r="52" ht="30" customHeight="1" s="128">
      <c r="B52" s="52" t="inlineStr">
        <is>
          <t>Ambalaj secundar / paletizare</t>
        </is>
      </c>
      <c r="C52" s="139" t="n"/>
      <c r="D52" s="140" t="n"/>
      <c r="E52" s="140" t="n"/>
      <c r="F52" s="140" t="n"/>
      <c r="G52" s="140" t="n"/>
      <c r="H52" s="140" t="n"/>
      <c r="I52" s="140" t="n"/>
      <c r="J52" s="140" t="n"/>
      <c r="K52" s="140" t="n"/>
      <c r="L52" s="141" t="n"/>
      <c r="M52" s="55" t="n"/>
      <c r="N52" s="55" t="n"/>
    </row>
    <row r="53" ht="31.95" customHeight="1" s="128">
      <c r="B53" s="52" t="inlineStr">
        <is>
          <t>Limitari cunoscute ale liniei (greutate maxima, diametru, inaltime)</t>
        </is>
      </c>
      <c r="C53" s="142" t="n"/>
      <c r="D53" s="143" t="n"/>
      <c r="E53" s="143" t="n"/>
      <c r="F53" s="143" t="n"/>
      <c r="G53" s="143" t="n"/>
      <c r="H53" s="143" t="n"/>
      <c r="I53" s="143" t="n"/>
      <c r="J53" s="143" t="n"/>
      <c r="K53" s="143" t="n"/>
      <c r="L53" s="144" t="n"/>
      <c r="M53" s="55" t="n"/>
      <c r="N53" s="55" t="n"/>
    </row>
    <row r="55" ht="19.5" customHeight="1" s="128">
      <c r="B55" s="35" t="inlineStr">
        <is>
          <t>6. Analiza de risc si conformitate PPWR — completata de MIRALEDO, impreuna cu clientul</t>
        </is>
      </c>
      <c r="C55" s="35" t="n"/>
      <c r="D55" s="35" t="n"/>
      <c r="E55" s="36" t="n"/>
      <c r="F55" s="36" t="n"/>
      <c r="G55" s="36" t="n"/>
      <c r="H55" s="36" t="n"/>
      <c r="I55" s="36" t="n"/>
      <c r="J55" s="36" t="n"/>
      <c r="K55" s="36" t="n"/>
      <c r="L55" s="36" t="n"/>
      <c r="M55" s="51" t="n"/>
      <c r="N55" s="51" t="n"/>
    </row>
    <row r="56" ht="30" customHeight="1" s="128">
      <c r="B56" s="112" t="inlineStr">
        <is>
          <t>Evaluare comerciala interna MIRALEDO a ambalajului ACTUAL. Nu reprezinta o certificare oficiala PPWR (nu exista asa ceva) - clasa de la sectiunea 3 e calculata din datele introduse pentru fiecare componenta.</t>
        </is>
      </c>
      <c r="C56" s="154" t="n"/>
      <c r="D56" s="154" t="n"/>
      <c r="E56" s="154" t="n"/>
      <c r="F56" s="154" t="n"/>
      <c r="G56" s="154" t="n"/>
      <c r="H56" s="154" t="n"/>
      <c r="I56" s="154" t="n"/>
      <c r="J56" s="154" t="n"/>
      <c r="K56" s="154" t="n"/>
      <c r="L56" s="154" t="n"/>
      <c r="M56" s="82" t="n"/>
      <c r="N56" s="82" t="n"/>
    </row>
    <row r="57" ht="31.95" customHeight="1" s="128">
      <c r="B57" s="52" t="inlineStr">
        <is>
          <t>Testare substante restrictionate (PFAS etc.) efectuata?</t>
        </is>
      </c>
      <c r="C57" s="139" t="n"/>
      <c r="D57" s="140" t="n"/>
      <c r="E57" s="140" t="n"/>
      <c r="F57" s="140" t="n"/>
      <c r="G57" s="140" t="n"/>
      <c r="H57" s="140" t="n"/>
      <c r="I57" s="140" t="n"/>
      <c r="J57" s="140" t="n"/>
      <c r="K57" s="140" t="n"/>
      <c r="L57" s="141" t="n"/>
      <c r="M57" s="55" t="n"/>
      <c r="N57" s="55" t="n"/>
    </row>
    <row r="58" ht="45" customHeight="1" s="128">
      <c r="B58" s="52" t="inlineStr">
        <is>
          <t>Documentatie de conformitate disponibila (documentatie tehnica - Anexa VII; declaratie UE - Anexa VIII)</t>
        </is>
      </c>
      <c r="C58" s="139" t="n"/>
      <c r="D58" s="140" t="n"/>
      <c r="E58" s="140" t="n"/>
      <c r="F58" s="140" t="n"/>
      <c r="G58" s="140" t="n"/>
      <c r="H58" s="140" t="n"/>
      <c r="I58" s="140" t="n"/>
      <c r="J58" s="140" t="n"/>
      <c r="K58" s="140" t="n"/>
      <c r="L58" s="141" t="n"/>
      <c r="M58" s="55" t="n"/>
      <c r="N58" s="55" t="n"/>
    </row>
    <row r="59" ht="31.95" customHeight="1" s="128">
      <c r="B59" s="52" t="inlineStr">
        <is>
          <t>Expunere la restrictii de format PPWR (Anexa V)</t>
        </is>
      </c>
      <c r="C59" s="139" t="n"/>
      <c r="D59" s="140" t="n"/>
      <c r="E59" s="140" t="n"/>
      <c r="F59" s="140" t="n"/>
      <c r="G59" s="140" t="n"/>
      <c r="H59" s="140" t="n"/>
      <c r="I59" s="140" t="n"/>
      <c r="J59" s="140" t="n"/>
      <c r="K59" s="140" t="n"/>
      <c r="L59" s="141" t="n"/>
      <c r="M59" s="55" t="n"/>
      <c r="N59" s="55" t="n"/>
    </row>
    <row r="60" ht="31.95" customHeight="1" s="128">
      <c r="B60" s="52" t="inlineStr">
        <is>
          <t>Aplicabilitate obligatii reutilizare / reumplere (2027-2030)</t>
        </is>
      </c>
      <c r="C60" s="139" t="n"/>
      <c r="D60" s="140" t="n"/>
      <c r="E60" s="140" t="n"/>
      <c r="F60" s="140" t="n"/>
      <c r="G60" s="140" t="n"/>
      <c r="H60" s="140" t="n"/>
      <c r="I60" s="140" t="n"/>
      <c r="J60" s="140" t="n"/>
      <c r="K60" s="140" t="n"/>
      <c r="L60" s="141" t="n"/>
      <c r="M60" s="55" t="n"/>
      <c r="N60" s="55" t="n"/>
    </row>
    <row r="61" ht="31.95" customHeight="1" s="128">
      <c r="B61" s="52" t="inlineStr">
        <is>
          <t>Nivel de risc PPWR (Ridicat / Mediu / Scazut)</t>
        </is>
      </c>
      <c r="C61" s="139" t="n"/>
      <c r="D61" s="140" t="n"/>
      <c r="E61" s="140" t="n"/>
      <c r="F61" s="140" t="n"/>
      <c r="G61" s="140" t="n"/>
      <c r="H61" s="140" t="n"/>
      <c r="I61" s="140" t="n"/>
      <c r="J61" s="140" t="n"/>
      <c r="K61" s="140" t="n"/>
      <c r="L61" s="141" t="n"/>
      <c r="M61" s="55" t="n"/>
      <c r="N61" s="55" t="n"/>
    </row>
    <row r="62" ht="30" customHeight="1" s="128">
      <c r="B62" s="52" t="inlineStr">
        <is>
          <t>Motivatie risc identificat</t>
        </is>
      </c>
      <c r="C62" s="139" t="n"/>
      <c r="D62" s="140" t="n"/>
      <c r="E62" s="140" t="n"/>
      <c r="F62" s="140" t="n"/>
      <c r="G62" s="140" t="n"/>
      <c r="H62" s="140" t="n"/>
      <c r="I62" s="140" t="n"/>
      <c r="J62" s="140" t="n"/>
      <c r="K62" s="140" t="n"/>
      <c r="L62" s="141" t="n"/>
      <c r="M62" s="55" t="n"/>
      <c r="N62" s="55" t="n"/>
    </row>
    <row r="63" ht="31.95" customHeight="1" s="128">
      <c r="B63" s="52" t="inlineStr">
        <is>
          <t>Oportunitati de imbunatatire propuse de MIRALEDO</t>
        </is>
      </c>
      <c r="C63" s="139" t="n"/>
      <c r="D63" s="140" t="n"/>
      <c r="E63" s="140" t="n"/>
      <c r="F63" s="140" t="n"/>
      <c r="G63" s="140" t="n"/>
      <c r="H63" s="140" t="n"/>
      <c r="I63" s="140" t="n"/>
      <c r="J63" s="140" t="n"/>
      <c r="K63" s="140" t="n"/>
      <c r="L63" s="141" t="n"/>
      <c r="M63" s="55" t="n"/>
      <c r="N63" s="55" t="n"/>
    </row>
    <row r="64" ht="31.95" customHeight="1" s="128">
      <c r="B64" s="52" t="inlineStr">
        <is>
          <t>Beneficiu estimat (cost EPR, conformitate, imagine)</t>
        </is>
      </c>
      <c r="C64" s="139" t="n"/>
      <c r="D64" s="140" t="n"/>
      <c r="E64" s="140" t="n"/>
      <c r="F64" s="140" t="n"/>
      <c r="G64" s="140" t="n"/>
      <c r="H64" s="140" t="n"/>
      <c r="I64" s="140" t="n"/>
      <c r="J64" s="140" t="n"/>
      <c r="K64" s="140" t="n"/>
      <c r="L64" s="141" t="n"/>
      <c r="M64" s="55" t="n"/>
      <c r="N64" s="55" t="n"/>
    </row>
    <row r="65" ht="30" customHeight="1" s="128">
      <c r="B65" s="52" t="inlineStr">
        <is>
          <t>Termen legal relevant / urgenta</t>
        </is>
      </c>
      <c r="C65" s="142" t="n"/>
      <c r="D65" s="143" t="n"/>
      <c r="E65" s="143" t="n"/>
      <c r="F65" s="143" t="n"/>
      <c r="G65" s="143" t="n"/>
      <c r="H65" s="143" t="n"/>
      <c r="I65" s="143" t="n"/>
      <c r="J65" s="143" t="n"/>
      <c r="K65" s="143" t="n"/>
      <c r="L65" s="144" t="n"/>
      <c r="M65" s="55" t="n"/>
      <c r="N65" s="55" t="n"/>
    </row>
    <row r="67" ht="19.5" customHeight="1" s="128">
      <c r="B67" s="35" t="inlineStr">
        <is>
          <t>7. Comercial si pasi urmatori — sectiune interna MIRALEDO</t>
        </is>
      </c>
      <c r="C67" s="35" t="n"/>
      <c r="D67" s="35" t="n"/>
      <c r="E67" s="36" t="n"/>
      <c r="F67" s="36" t="n"/>
      <c r="G67" s="36" t="n"/>
      <c r="H67" s="36" t="n"/>
      <c r="I67" s="36" t="n"/>
      <c r="J67" s="36" t="n"/>
      <c r="K67" s="36" t="n"/>
      <c r="L67" s="36" t="n"/>
      <c r="M67" s="51" t="n"/>
      <c r="N67" s="51" t="n"/>
    </row>
    <row r="68" ht="30" customHeight="1" s="128">
      <c r="B68" s="52" t="inlineStr">
        <is>
          <t>Pret tinta client (unitate completa, EUR / 1000 buc)</t>
        </is>
      </c>
      <c r="C68" s="139" t="n"/>
      <c r="D68" s="140" t="n"/>
      <c r="E68" s="140" t="n"/>
      <c r="F68" s="140" t="n"/>
      <c r="G68" s="140" t="n"/>
      <c r="H68" s="140" t="n"/>
      <c r="I68" s="140" t="n"/>
      <c r="J68" s="140" t="n"/>
      <c r="K68" s="140" t="n"/>
      <c r="L68" s="141" t="n"/>
      <c r="M68" s="55" t="n"/>
      <c r="N68" s="55" t="n"/>
    </row>
    <row r="69" ht="30" customHeight="1" s="128">
      <c r="B69" s="52" t="inlineStr">
        <is>
          <t>Conditii de livrare (Incoterms)</t>
        </is>
      </c>
      <c r="C69" s="139" t="n"/>
      <c r="D69" s="140" t="n"/>
      <c r="E69" s="140" t="n"/>
      <c r="F69" s="140" t="n"/>
      <c r="G69" s="140" t="n"/>
      <c r="H69" s="140" t="n"/>
      <c r="I69" s="140" t="n"/>
      <c r="J69" s="140" t="n"/>
      <c r="K69" s="140" t="n"/>
      <c r="L69" s="141" t="n"/>
      <c r="M69" s="55" t="n"/>
      <c r="N69" s="55" t="n"/>
    </row>
    <row r="70" ht="31.95" customHeight="1" s="128">
      <c r="B70" s="52" t="inlineStr">
        <is>
          <t>Problema / nevoie identificata la client</t>
        </is>
      </c>
      <c r="C70" s="139" t="n"/>
      <c r="D70" s="140" t="n"/>
      <c r="E70" s="140" t="n"/>
      <c r="F70" s="140" t="n"/>
      <c r="G70" s="140" t="n"/>
      <c r="H70" s="140" t="n"/>
      <c r="I70" s="140" t="n"/>
      <c r="J70" s="140" t="n"/>
      <c r="K70" s="140" t="n"/>
      <c r="L70" s="141" t="n"/>
      <c r="M70" s="55" t="n"/>
      <c r="N70" s="55" t="n"/>
    </row>
    <row r="71" ht="31.95" customHeight="1" s="128">
      <c r="B71" s="52" t="inlineStr">
        <is>
          <t>Stadiu pipeline (vezi Sales Pipeline CRM)</t>
        </is>
      </c>
      <c r="C71" s="139" t="n"/>
      <c r="D71" s="140" t="n"/>
      <c r="E71" s="140" t="n"/>
      <c r="F71" s="140" t="n"/>
      <c r="G71" s="140" t="n"/>
      <c r="H71" s="140" t="n"/>
      <c r="I71" s="140" t="n"/>
      <c r="J71" s="140" t="n"/>
      <c r="K71" s="140" t="n"/>
      <c r="L71" s="141" t="n"/>
      <c r="M71" s="55" t="n"/>
      <c r="N71" s="55" t="n"/>
    </row>
    <row r="72" ht="30" customHeight="1" s="128">
      <c r="B72" s="52" t="inlineStr">
        <is>
          <t>Urmatoarea actiune</t>
        </is>
      </c>
      <c r="C72" s="139" t="n"/>
      <c r="D72" s="140" t="n"/>
      <c r="E72" s="140" t="n"/>
      <c r="F72" s="140" t="n"/>
      <c r="G72" s="140" t="n"/>
      <c r="H72" s="140" t="n"/>
      <c r="I72" s="140" t="n"/>
      <c r="J72" s="140" t="n"/>
      <c r="K72" s="140" t="n"/>
      <c r="L72" s="141" t="n"/>
      <c r="M72" s="55" t="n"/>
      <c r="N72" s="55" t="n"/>
    </row>
    <row r="73" ht="30" customHeight="1" s="128">
      <c r="B73" s="52" t="inlineStr">
        <is>
          <t>Data urmatorului follow-up</t>
        </is>
      </c>
      <c r="C73" s="142" t="n"/>
      <c r="D73" s="143" t="n"/>
      <c r="E73" s="143" t="n"/>
      <c r="F73" s="143" t="n"/>
      <c r="G73" s="143" t="n"/>
      <c r="H73" s="143" t="n"/>
      <c r="I73" s="143" t="n"/>
      <c r="J73" s="143" t="n"/>
      <c r="K73" s="143" t="n"/>
      <c r="L73" s="144" t="n"/>
      <c r="M73" s="55" t="n"/>
      <c r="N73" s="55" t="n"/>
    </row>
    <row r="76" ht="18" customHeight="1" s="128">
      <c r="B76" s="54" t="inlineStr">
        <is>
          <t>Observatii</t>
        </is>
      </c>
      <c r="C76" s="155" t="n"/>
      <c r="D76" s="140" t="n"/>
      <c r="E76" s="140" t="n"/>
      <c r="F76" s="140" t="n"/>
      <c r="G76" s="140" t="n"/>
      <c r="H76" s="140" t="n"/>
      <c r="I76" s="140" t="n"/>
      <c r="J76" s="140" t="n"/>
      <c r="K76" s="140" t="n"/>
      <c r="L76" s="141" t="n"/>
      <c r="M76" s="4" t="n"/>
      <c r="N76" s="4" t="n"/>
    </row>
    <row r="77" ht="18" customHeight="1" s="128">
      <c r="C77" s="156" t="n"/>
      <c r="D77" s="157" t="n"/>
      <c r="E77" s="157" t="n"/>
      <c r="F77" s="157" t="n"/>
      <c r="G77" s="157" t="n"/>
      <c r="H77" s="157" t="n"/>
      <c r="I77" s="157" t="n"/>
      <c r="J77" s="157" t="n"/>
      <c r="K77" s="157" t="n"/>
      <c r="L77" s="158" t="n"/>
      <c r="M77" s="4" t="n"/>
      <c r="N77" s="4" t="n"/>
    </row>
    <row r="78" ht="18" customHeight="1" s="128">
      <c r="C78" s="159" t="n"/>
      <c r="D78" s="160" t="n"/>
      <c r="E78" s="160" t="n"/>
      <c r="F78" s="160" t="n"/>
      <c r="G78" s="160" t="n"/>
      <c r="H78" s="160" t="n"/>
      <c r="I78" s="160" t="n"/>
      <c r="J78" s="160" t="n"/>
      <c r="K78" s="160" t="n"/>
      <c r="L78" s="161" t="n"/>
      <c r="M78" s="4" t="n"/>
      <c r="N78" s="4" t="n"/>
    </row>
  </sheetData>
  <sheetProtection selectLockedCells="0" selectUnlockedCells="0" sheet="1" objects="1" insertRows="1" insertHyperlinks="1" autoFilter="1" scenarios="1" formatColumns="0" deleteColumns="1" insertColumns="1" pivotTables="1" deleteRows="1" formatCells="1" formatRows="0" sort="1"/>
  <mergeCells count="54">
    <mergeCell ref="C71:L71"/>
    <mergeCell ref="E12:L12"/>
    <mergeCell ref="E28:G28"/>
    <mergeCell ref="C61:L61"/>
    <mergeCell ref="C39:L39"/>
    <mergeCell ref="C52:L52"/>
    <mergeCell ref="C70:L70"/>
    <mergeCell ref="C8:L8"/>
    <mergeCell ref="C48:L48"/>
    <mergeCell ref="C7:L7"/>
    <mergeCell ref="E14:L14"/>
    <mergeCell ref="E30:G30"/>
    <mergeCell ref="C76:L78"/>
    <mergeCell ref="B29:D29"/>
    <mergeCell ref="C38:L38"/>
    <mergeCell ref="C72:L72"/>
    <mergeCell ref="B56:L56"/>
    <mergeCell ref="C57:L57"/>
    <mergeCell ref="C37:L37"/>
    <mergeCell ref="B28:D28"/>
    <mergeCell ref="C53:L53"/>
    <mergeCell ref="C69:L69"/>
    <mergeCell ref="C49:L49"/>
    <mergeCell ref="E10:L10"/>
    <mergeCell ref="C68:L68"/>
    <mergeCell ref="C34:L34"/>
    <mergeCell ref="B30:D30"/>
    <mergeCell ref="E13:L13"/>
    <mergeCell ref="C6:L6"/>
    <mergeCell ref="C62:L62"/>
    <mergeCell ref="C42:L42"/>
    <mergeCell ref="C58:L58"/>
    <mergeCell ref="C5:L5"/>
    <mergeCell ref="C73:L73"/>
    <mergeCell ref="C4:L4"/>
    <mergeCell ref="C64:L64"/>
    <mergeCell ref="E11:L11"/>
    <mergeCell ref="B26:D26"/>
    <mergeCell ref="C35:L35"/>
    <mergeCell ref="C63:L63"/>
    <mergeCell ref="C65:L65"/>
    <mergeCell ref="C47:L47"/>
    <mergeCell ref="C50:L50"/>
    <mergeCell ref="C41:L41"/>
    <mergeCell ref="C40:L40"/>
    <mergeCell ref="B33:L33"/>
    <mergeCell ref="B27:D27"/>
    <mergeCell ref="C59:L59"/>
    <mergeCell ref="C43:L43"/>
    <mergeCell ref="C51:L51"/>
    <mergeCell ref="C46:L46"/>
    <mergeCell ref="E29:G29"/>
    <mergeCell ref="C60:L60"/>
    <mergeCell ref="C36:L36"/>
  </mergeCells>
  <dataValidations count="6">
    <dataValidation sqref="E18:E25" showDropDown="0" showInputMessage="1" showErrorMessage="1" allowBlank="1" errorTitle="Valoare invalida" error="Greutatea se scrie in grame, ca numar pozitiv (ex: 12 sau 1,5)." type="decimal">
      <formula1>0</formula1>
      <formula2>100000</formula2>
    </dataValidation>
    <dataValidation sqref="F18:F25" showDropDown="0" showInputMessage="1" showErrorMessage="1" allowBlank="1" errorTitle="Valoare invalida" error="Scrieti un procent intre 0% si 100% (ex: 60%)." type="decimal">
      <formula1>0</formula1>
      <formula2>1</formula2>
    </dataValidation>
    <dataValidation sqref="H18:H25" showDropDown="0" showInputMessage="1" showErrorMessage="1" allowBlank="1" errorTitle="Valoare invalida" error="Scrieti un procent intre 0% si 100% (ex: 30%)." type="decimal">
      <formula1>0</formula1>
      <formula2>1</formula2>
    </dataValidation>
    <dataValidation sqref="C11:C14" showDropDown="0" showInputMessage="1" showErrorMessage="1" allowBlank="1" errorTitle="Valoare invalida" error="Scrieti volumul anual ca numar (buc/an), fara text." type="decimal" operator="greaterThanOrEqual">
      <formula1>0</formula1>
    </dataValidation>
    <dataValidation sqref="C35" showDropDown="0" showInputMessage="1" showErrorMessage="1" allowBlank="1" errorTitle="Valoare invalida" error="Valoarea nu este in lista. Puteti continua daca este intentionat." type="list" errorStyle="information">
      <formula1>"Alimentar,Farma,Cosmetic,Supliment alimentar,Altul"</formula1>
    </dataValidation>
    <dataValidation sqref="K18:K25" showDropDown="0" showInputMessage="1" showErrorMessage="1" allowBlank="1" errorTitle="Valoare invalida" error="Scrieti pretul ca numar in EUR / 1000 buc (ex: 300)." type="decimal" operator="greaterThanOrEqual">
      <formula1>0</formula1>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B2:N78"/>
  <sheetViews>
    <sheetView showGridLines="0" topLeftCell="A17" zoomScaleNormal="100" workbookViewId="0">
      <selection activeCell="A1" sqref="A1"/>
    </sheetView>
  </sheetViews>
  <sheetFormatPr baseColWidth="8" defaultColWidth="8.6640625" defaultRowHeight="14.4"/>
  <cols>
    <col width="3" customWidth="1" style="128" min="1" max="1"/>
    <col width="38.88671875" customWidth="1" style="128" min="2" max="2"/>
    <col width="18.5546875" customWidth="1" style="128" min="3" max="3"/>
    <col width="15.77734375" customWidth="1" style="128" min="4" max="4"/>
    <col width="11.44140625" customWidth="1" style="128" min="5" max="5"/>
    <col width="13" customWidth="1" style="128" min="6" max="6"/>
    <col width="12.5546875" customWidth="1" style="128" min="7" max="7"/>
    <col width="13.33203125" customWidth="1" style="128" min="8" max="8"/>
    <col width="15.77734375" customWidth="1" style="128" min="9" max="9"/>
    <col width="14.77734375" customWidth="1" style="128" min="10" max="10"/>
    <col width="17.5546875" customWidth="1" style="128" min="11" max="11"/>
    <col width="27.77734375" customWidth="1" style="128" min="12" max="12"/>
    <col width="11.109375" customWidth="1" style="128" min="13" max="13"/>
    <col width="25.88671875" customWidth="1" style="128" min="14" max="14"/>
    <col width="3" customWidth="1" style="128" min="15" max="15"/>
  </cols>
  <sheetData>
    <row r="1" ht="15" customHeight="1" s="128"/>
    <row r="2" ht="27.75" customHeight="1" s="128">
      <c r="B2" s="129" t="inlineStr">
        <is>
          <t>Fisa de analiza — unitate de ambalaj</t>
        </is>
      </c>
      <c r="C2" s="129" t="n"/>
      <c r="D2" s="129" t="n"/>
      <c r="E2" s="34" t="n"/>
      <c r="F2" s="34" t="n"/>
      <c r="G2" s="34" t="n"/>
      <c r="H2" s="34" t="n"/>
      <c r="I2" s="34" t="n"/>
      <c r="J2" s="34" t="n"/>
      <c r="K2" s="34" t="n"/>
      <c r="L2" s="34" t="n"/>
    </row>
    <row r="3" ht="19.5" customHeight="1" s="128">
      <c r="B3" s="35" t="inlineStr">
        <is>
          <t>1. Identificare unitate de ambalaj</t>
        </is>
      </c>
      <c r="C3" s="35" t="n"/>
      <c r="D3" s="35" t="n"/>
      <c r="E3" s="36" t="n"/>
      <c r="F3" s="36" t="n"/>
      <c r="G3" s="36" t="n"/>
      <c r="H3" s="36" t="n"/>
      <c r="I3" s="36" t="n"/>
      <c r="J3" s="36" t="n"/>
      <c r="K3" s="36" t="n"/>
      <c r="L3" s="36" t="n"/>
      <c r="M3" s="51" t="n"/>
      <c r="N3" s="51" t="n"/>
    </row>
    <row r="4" ht="31.95" customHeight="1" s="128">
      <c r="B4" s="52" t="inlineStr">
        <is>
          <t>Denumire unitate (pe baza componentelor)</t>
        </is>
      </c>
      <c r="C4" s="162" t="inlineStr">
        <is>
          <t>Borcan sticla 50ml transparent + capac alb PP + eticheta hartie</t>
        </is>
      </c>
      <c r="D4" s="140" t="n"/>
      <c r="E4" s="140" t="n"/>
      <c r="F4" s="140" t="n"/>
      <c r="G4" s="140" t="n"/>
      <c r="H4" s="140" t="n"/>
      <c r="I4" s="140" t="n"/>
      <c r="J4" s="140" t="n"/>
      <c r="K4" s="140" t="n"/>
      <c r="L4" s="141" t="n"/>
      <c r="M4" s="57" t="n"/>
      <c r="N4" s="57" t="n"/>
    </row>
    <row r="5" ht="31.95" customHeight="1" s="128">
      <c r="B5" s="52" t="inlineStr">
        <is>
          <t>Furnizor/configuratie de referinta (daca exista)</t>
        </is>
      </c>
      <c r="C5" s="163" t="inlineStr">
        <is>
          <t>Furnizor X (flacon) / Furnizor Y (capac)</t>
        </is>
      </c>
      <c r="D5" s="143" t="n"/>
      <c r="E5" s="143" t="n"/>
      <c r="F5" s="143" t="n"/>
      <c r="G5" s="143" t="n"/>
      <c r="H5" s="143" t="n"/>
      <c r="I5" s="143" t="n"/>
      <c r="J5" s="143" t="n"/>
      <c r="K5" s="143" t="n"/>
      <c r="L5" s="144" t="n"/>
      <c r="M5" s="57" t="n"/>
      <c r="N5" s="57" t="n"/>
    </row>
    <row r="6" ht="30" customHeight="1" s="128">
      <c r="B6" s="52" t="inlineStr">
        <is>
          <t>Capacitate nominala (ml / g)</t>
        </is>
      </c>
      <c r="C6" s="164" t="inlineStr">
        <is>
          <t>50 ml</t>
        </is>
      </c>
      <c r="D6" s="143" t="n"/>
      <c r="E6" s="143" t="n"/>
      <c r="F6" s="143" t="n"/>
      <c r="G6" s="143" t="n"/>
      <c r="H6" s="143" t="n"/>
      <c r="I6" s="143" t="n"/>
      <c r="J6" s="143" t="n"/>
      <c r="K6" s="143" t="n"/>
      <c r="L6" s="144" t="n"/>
      <c r="M6" s="57" t="n"/>
      <c r="N6" s="57" t="n"/>
    </row>
    <row r="7" ht="34.05" customHeight="1" s="128">
      <c r="B7" s="52" t="inlineStr">
        <is>
          <t>Dimensiuni principale (diametru x inaltime, mm)</t>
        </is>
      </c>
      <c r="C7" s="164" t="inlineStr">
        <is>
          <t>Ø 55 mm x H 60 mm</t>
        </is>
      </c>
      <c r="D7" s="143" t="n"/>
      <c r="E7" s="143" t="n"/>
      <c r="F7" s="143" t="n"/>
      <c r="G7" s="143" t="n"/>
      <c r="H7" s="143" t="n"/>
      <c r="I7" s="143" t="n"/>
      <c r="J7" s="143" t="n"/>
      <c r="K7" s="143" t="n"/>
      <c r="L7" s="144" t="n"/>
      <c r="M7" s="57" t="n"/>
      <c r="N7" s="57" t="n"/>
    </row>
    <row r="8" ht="34.05" customHeight="1" s="128">
      <c r="B8" s="52" t="inlineStr">
        <is>
          <t>Documente disponibile (fisa tehnica, desen, poze, declaratii)</t>
        </is>
      </c>
      <c r="C8" s="164" t="inlineStr">
        <is>
          <t>Fisa tehnica: da (Furnizor X); desen tehnic: nu</t>
        </is>
      </c>
      <c r="D8" s="143" t="n"/>
      <c r="E8" s="143" t="n"/>
      <c r="F8" s="143" t="n"/>
      <c r="G8" s="143" t="n"/>
      <c r="H8" s="143" t="n"/>
      <c r="I8" s="143" t="n"/>
      <c r="J8" s="143" t="n"/>
      <c r="K8" s="143" t="n"/>
      <c r="L8" s="144" t="n"/>
      <c r="M8" s="57" t="n"/>
      <c r="N8" s="57" t="n"/>
    </row>
    <row r="9" ht="19.5" customHeight="1" s="128">
      <c r="B9" s="35" t="inlineStr">
        <is>
          <t>2. Produse / SKU-uri care folosesc aceasta unitate</t>
        </is>
      </c>
      <c r="C9" s="35" t="n"/>
      <c r="D9" s="35" t="n"/>
      <c r="E9" s="36" t="n"/>
      <c r="F9" s="36" t="n"/>
      <c r="G9" s="36" t="n"/>
      <c r="H9" s="36" t="n"/>
      <c r="I9" s="36" t="n"/>
      <c r="J9" s="36" t="n"/>
      <c r="K9" s="36" t="n"/>
      <c r="L9" s="36" t="n"/>
      <c r="M9" s="51" t="n"/>
      <c r="N9" s="51" t="n"/>
    </row>
    <row r="10" ht="30" customHeight="1" s="128">
      <c r="B10" s="3" t="inlineStr">
        <is>
          <t>Denumire produs / SKU</t>
        </is>
      </c>
      <c r="C10" s="102" t="inlineStr">
        <is>
          <t>Volum anual estimat (buc/an)</t>
        </is>
      </c>
      <c r="D10" s="102" t="inlineStr">
        <is>
          <t>Frecventa comenzilor</t>
        </is>
      </c>
      <c r="E10" s="102" t="inlineStr">
        <is>
          <t>Observatii</t>
        </is>
      </c>
      <c r="F10" s="146" t="n"/>
      <c r="G10" s="146" t="n"/>
      <c r="H10" s="146" t="n"/>
      <c r="I10" s="146" t="n"/>
      <c r="J10" s="146" t="n"/>
      <c r="K10" s="146" t="n"/>
      <c r="L10" s="146" t="n"/>
      <c r="M10" s="50" t="n"/>
      <c r="N10" s="50" t="n"/>
    </row>
    <row r="11" ht="30" customHeight="1" s="128">
      <c r="B11" s="46" t="inlineStr">
        <is>
          <t>Crema de fata 50ml</t>
        </is>
      </c>
      <c r="C11" s="71" t="n">
        <v>300000</v>
      </c>
      <c r="D11" s="56" t="inlineStr">
        <is>
          <t>Trimestrial</t>
        </is>
      </c>
      <c r="E11" s="120" t="inlineStr">
        <is>
          <t>-</t>
        </is>
      </c>
      <c r="F11" s="143" t="n"/>
      <c r="G11" s="143" t="n"/>
      <c r="H11" s="143" t="n"/>
      <c r="I11" s="143" t="n"/>
      <c r="J11" s="143" t="n"/>
      <c r="K11" s="143" t="n"/>
      <c r="L11" s="143" t="n"/>
      <c r="M11" s="58" t="n"/>
      <c r="N11" s="58" t="n"/>
    </row>
    <row r="12" ht="30" customHeight="1" s="128">
      <c r="B12" s="46" t="inlineStr">
        <is>
          <t>Ser facial 50ml (acelasi flacon)</t>
        </is>
      </c>
      <c r="C12" s="71" t="n">
        <v>120000</v>
      </c>
      <c r="D12" s="56" t="inlineStr">
        <is>
          <t>Trimestrial</t>
        </is>
      </c>
      <c r="E12" s="120" t="inlineStr">
        <is>
          <t>Eticheta diferita</t>
        </is>
      </c>
      <c r="F12" s="143" t="n"/>
      <c r="G12" s="143" t="n"/>
      <c r="H12" s="143" t="n"/>
      <c r="I12" s="143" t="n"/>
      <c r="J12" s="143" t="n"/>
      <c r="K12" s="143" t="n"/>
      <c r="L12" s="143" t="n"/>
      <c r="M12" s="58" t="n"/>
      <c r="N12" s="58" t="n"/>
    </row>
    <row r="13" ht="30" customHeight="1" s="128">
      <c r="B13" s="42" t="n"/>
      <c r="C13" s="67" t="n"/>
      <c r="D13" s="53" t="n"/>
      <c r="E13" s="104" t="n"/>
      <c r="F13" s="143" t="n"/>
      <c r="G13" s="143" t="n"/>
      <c r="H13" s="143" t="n"/>
      <c r="I13" s="143" t="n"/>
      <c r="J13" s="143" t="n"/>
      <c r="K13" s="143" t="n"/>
      <c r="L13" s="143" t="n"/>
      <c r="M13" s="55" t="n"/>
      <c r="N13" s="55" t="n"/>
    </row>
    <row r="14" ht="30" customHeight="1" s="128">
      <c r="B14" s="64" t="n"/>
      <c r="C14" s="68" t="n"/>
      <c r="D14" s="53" t="n"/>
      <c r="E14" s="104" t="n"/>
      <c r="F14" s="143" t="n"/>
      <c r="G14" s="143" t="n"/>
      <c r="H14" s="143" t="n"/>
      <c r="I14" s="143" t="n"/>
      <c r="J14" s="143" t="n"/>
      <c r="K14" s="143" t="n"/>
      <c r="L14" s="143" t="n"/>
      <c r="M14" s="55" t="n"/>
      <c r="N14" s="55" t="n"/>
    </row>
    <row r="15" ht="24" customHeight="1" s="128">
      <c r="B15" s="65" t="inlineStr">
        <is>
          <t>TOTAL volum anual unitate (automat)</t>
        </is>
      </c>
      <c r="C15" s="66">
        <f>SUM(C11:C14)</f>
        <v/>
      </c>
    </row>
    <row r="16" ht="19.5" customHeight="1" s="128">
      <c r="B16" s="35" t="inlineStr">
        <is>
          <t>3. Componentele unitatii de ambalaj</t>
        </is>
      </c>
      <c r="C16" s="35" t="n"/>
      <c r="D16" s="35" t="n"/>
      <c r="E16" s="35" t="n"/>
      <c r="F16" s="35" t="n"/>
      <c r="G16" s="35" t="n"/>
      <c r="H16" s="35" t="n"/>
      <c r="I16" s="35" t="n"/>
      <c r="J16" s="35" t="n"/>
      <c r="K16" s="35" t="n"/>
      <c r="L16" s="35" t="n"/>
      <c r="M16" s="63" t="n"/>
      <c r="N16" s="63" t="n"/>
    </row>
    <row r="17" ht="49.95" customHeight="1" s="128">
      <c r="B17" s="3" t="inlineStr">
        <is>
          <t>Denumire componenta</t>
        </is>
      </c>
      <c r="C17" s="3" t="inlineStr">
        <is>
          <t>Material</t>
        </is>
      </c>
      <c r="D17" s="3" t="inlineStr">
        <is>
          <t>Culoare</t>
        </is>
      </c>
      <c r="E17" s="3" t="inlineStr">
        <is>
          <t>Greutate (g)</t>
        </is>
      </c>
      <c r="F17" s="3" t="inlineStr">
        <is>
          <t>% reciclabil (0-100%)</t>
        </is>
      </c>
      <c r="G17" s="3" t="inlineStr">
        <is>
          <t>Masa reciclabila (g)</t>
        </is>
      </c>
      <c r="H17" s="3" t="inlineStr">
        <is>
          <t>% continut reciclat (PCR)</t>
        </is>
      </c>
      <c r="I17" s="3" t="inlineStr">
        <is>
          <t>Furnizor</t>
        </is>
      </c>
      <c r="J17" s="3" t="inlineStr">
        <is>
          <t>Tara origine</t>
        </is>
      </c>
      <c r="K17" s="3" t="inlineStr">
        <is>
          <t>Pret unitar (EUR / 1000 buc)</t>
        </is>
      </c>
      <c r="L17" s="102" t="inlineStr">
        <is>
          <t>Observatii / risc</t>
        </is>
      </c>
    </row>
    <row r="18" ht="34.05" customHeight="1" s="128">
      <c r="B18" s="47" t="inlineStr">
        <is>
          <t>Flacon/borcan</t>
        </is>
      </c>
      <c r="C18" s="48" t="inlineStr">
        <is>
          <t>Sticla flint</t>
        </is>
      </c>
      <c r="D18" s="48" t="inlineStr">
        <is>
          <t>Transparent</t>
        </is>
      </c>
      <c r="E18" s="48" t="n">
        <v>85</v>
      </c>
      <c r="F18" s="49" t="n">
        <v>1</v>
      </c>
      <c r="G18" s="147">
        <f>IF(OR(E18="",F18=""),"",E18*F18)</f>
        <v/>
      </c>
      <c r="H18" s="49" t="n"/>
      <c r="I18" s="48" t="inlineStr">
        <is>
          <t>Furnizor X</t>
        </is>
      </c>
      <c r="J18" s="48" t="inlineStr">
        <is>
          <t>UE</t>
        </is>
      </c>
      <c r="K18" s="72" t="n">
        <v>300</v>
      </c>
      <c r="L18" s="120" t="n"/>
    </row>
    <row r="19" ht="34.05" customHeight="1" s="128">
      <c r="B19" s="47" t="inlineStr">
        <is>
          <t>Capac</t>
        </is>
      </c>
      <c r="C19" s="48" t="inlineStr">
        <is>
          <t>PP</t>
        </is>
      </c>
      <c r="D19" s="48" t="inlineStr">
        <is>
          <t>Alb</t>
        </is>
      </c>
      <c r="E19" s="48" t="n">
        <v>12</v>
      </c>
      <c r="F19" s="49" t="n">
        <v>0.6</v>
      </c>
      <c r="G19" s="147">
        <f>IF(OR(E19="",F19=""),"",E19*F19)</f>
        <v/>
      </c>
      <c r="H19" s="49" t="n">
        <v>0</v>
      </c>
      <c r="I19" s="48" t="inlineStr">
        <is>
          <t>Furnizor Y</t>
        </is>
      </c>
      <c r="J19" s="48" t="inlineStr">
        <is>
          <t>UE</t>
        </is>
      </c>
      <c r="K19" s="72" t="n">
        <v>50</v>
      </c>
      <c r="L19" s="120" t="n"/>
    </row>
    <row r="20" ht="34.05" customHeight="1" s="128">
      <c r="B20" s="47" t="inlineStr">
        <is>
          <t>Eticheta</t>
        </is>
      </c>
      <c r="C20" s="48" t="inlineStr">
        <is>
          <t>Hartie + adeziv</t>
        </is>
      </c>
      <c r="D20" s="48" t="inlineStr">
        <is>
          <t>Alb/print</t>
        </is>
      </c>
      <c r="E20" s="48" t="n">
        <v>1.5</v>
      </c>
      <c r="F20" s="49" t="n">
        <v>0</v>
      </c>
      <c r="G20" s="147">
        <f>IF(OR(E20="",F20=""),"",E20*F20)</f>
        <v/>
      </c>
      <c r="H20" s="49" t="n"/>
      <c r="I20" s="48" t="inlineStr">
        <is>
          <t>Furnizor Z</t>
        </is>
      </c>
      <c r="J20" s="48" t="inlineStr">
        <is>
          <t>Romania</t>
        </is>
      </c>
      <c r="K20" s="72" t="n">
        <v>20</v>
      </c>
      <c r="L20" s="120" t="inlineStr">
        <is>
          <t>Lipita direct - nu se separa manual</t>
        </is>
      </c>
    </row>
    <row r="21" ht="34.05" customHeight="1" s="128">
      <c r="B21" s="43" t="n"/>
      <c r="C21" s="44" t="n"/>
      <c r="D21" s="44" t="n"/>
      <c r="E21" s="44" t="n"/>
      <c r="F21" s="45" t="n"/>
      <c r="G21" s="147">
        <f>IF(OR(E21="",F21=""),"",E21*F21)</f>
        <v/>
      </c>
      <c r="H21" s="45" t="n"/>
      <c r="I21" s="44" t="n"/>
      <c r="J21" s="44" t="n"/>
      <c r="K21" s="69" t="n"/>
      <c r="L21" s="59" t="n"/>
    </row>
    <row r="22" ht="34.05" customHeight="1" s="128">
      <c r="B22" s="43" t="n"/>
      <c r="C22" s="44" t="n"/>
      <c r="D22" s="44" t="n"/>
      <c r="E22" s="44" t="n"/>
      <c r="F22" s="45" t="n"/>
      <c r="G22" s="147">
        <f>IF(OR(E22="",F22=""),"",E22*F22)</f>
        <v/>
      </c>
      <c r="H22" s="45" t="n"/>
      <c r="I22" s="44" t="n"/>
      <c r="J22" s="44" t="n"/>
      <c r="K22" s="69" t="n"/>
      <c r="L22" s="59" t="n"/>
    </row>
    <row r="23" ht="34.05" customHeight="1" s="128">
      <c r="B23" s="43" t="n"/>
      <c r="C23" s="44" t="n"/>
      <c r="D23" s="44" t="n"/>
      <c r="E23" s="44" t="n"/>
      <c r="F23" s="45" t="n"/>
      <c r="G23" s="147">
        <f>IF(OR(E23="",F23=""),"",E23*F23)</f>
        <v/>
      </c>
      <c r="H23" s="45" t="n"/>
      <c r="I23" s="44" t="n"/>
      <c r="J23" s="44" t="n"/>
      <c r="K23" s="69" t="n"/>
      <c r="L23" s="59" t="n"/>
    </row>
    <row r="24" ht="34.05" customHeight="1" s="128">
      <c r="B24" s="43" t="n"/>
      <c r="C24" s="44" t="n"/>
      <c r="D24" s="44" t="n"/>
      <c r="E24" s="44" t="n"/>
      <c r="F24" s="45" t="n"/>
      <c r="G24" s="147">
        <f>IF(OR(E24="",F24=""),"",E24*F24)</f>
        <v/>
      </c>
      <c r="H24" s="45" t="n"/>
      <c r="I24" s="44" t="n"/>
      <c r="J24" s="44" t="n"/>
      <c r="K24" s="69" t="n"/>
      <c r="L24" s="59" t="n"/>
    </row>
    <row r="25" ht="34.05" customHeight="1" s="128">
      <c r="B25" s="43" t="n"/>
      <c r="C25" s="44" t="n"/>
      <c r="D25" s="44" t="n"/>
      <c r="E25" s="44" t="n"/>
      <c r="F25" s="45" t="n"/>
      <c r="G25" s="147">
        <f>IF(OR(E25="",F25=""),"",E25*F25)</f>
        <v/>
      </c>
      <c r="H25" s="45" t="n"/>
      <c r="I25" s="44" t="n"/>
      <c r="J25" s="44" t="n"/>
      <c r="K25" s="69" t="n"/>
      <c r="L25" s="59" t="n"/>
    </row>
    <row r="26" ht="19.5" customHeight="1" s="128">
      <c r="B26" s="116" t="inlineStr">
        <is>
          <t>TOTAL unitate (greutate si masa reciclabila)</t>
        </is>
      </c>
      <c r="C26" s="146" t="n"/>
      <c r="D26" s="131" t="n"/>
      <c r="E26" s="148">
        <f>SUM(E18:E25)</f>
        <v/>
      </c>
      <c r="F26" s="40" t="n"/>
      <c r="G26" s="148">
        <f>SUM(G18:G25)</f>
        <v/>
      </c>
      <c r="H26" s="40" t="n"/>
      <c r="I26" s="40" t="n"/>
      <c r="J26" s="40" t="n"/>
      <c r="K26" s="40" t="n"/>
      <c r="L26" s="60" t="n"/>
      <c r="M26" s="61" t="n"/>
      <c r="N26" s="61" t="n"/>
    </row>
    <row r="27" ht="19.5" customHeight="1" s="128">
      <c r="B27" s="116" t="inlineStr">
        <is>
          <t>% reciclabil ponderat pe greutate (automat)</t>
        </is>
      </c>
      <c r="C27" s="146" t="n"/>
      <c r="D27" s="131" t="n"/>
      <c r="E27" s="149">
        <f>IFERROR(G26/E26,"-")</f>
        <v/>
      </c>
    </row>
    <row r="28" ht="30" customHeight="1" s="128">
      <c r="B28" s="116" t="inlineStr">
        <is>
          <t>Clasa de reciclabilitate calculata (A ≥95% / B ≥80% / C ≥70%)</t>
        </is>
      </c>
      <c r="C28" s="146" t="n"/>
      <c r="D28" s="131" t="n"/>
      <c r="E28" s="150">
        <f>IF(NOT(ISNUMBER(E27)),"-",IF(E27&gt;=0.95,"A",IF(E27&gt;=0.8,"B",IF(E27&gt;=0.7,"C","Sub 70% - nereciclabil"))))</f>
        <v/>
      </c>
      <c r="F28" s="146" t="n"/>
      <c r="G28" s="131" t="n"/>
    </row>
    <row r="29" ht="34.05" customHeight="1" s="128">
      <c r="B29" s="151" t="inlineStr">
        <is>
          <t>Cost total componente (EUR / 1000 buc) - suma preturilor completate (automat)</t>
        </is>
      </c>
      <c r="C29" s="146" t="n"/>
      <c r="D29" s="131" t="n"/>
      <c r="E29" s="152">
        <f>SUM(K18:K25)</f>
        <v/>
      </c>
      <c r="F29" s="146" t="n"/>
      <c r="G29" s="131" t="n"/>
      <c r="H29" s="70" t="n"/>
      <c r="I29" s="70" t="n"/>
      <c r="J29" s="70" t="n"/>
      <c r="K29" s="70" t="n"/>
      <c r="L29" s="70" t="n"/>
    </row>
    <row r="30" ht="34.05" customHeight="1" s="128">
      <c r="B30" s="151" t="inlineStr">
        <is>
          <t>Material total pus pe piata (kg/an) = greutate x volum anual (automat)</t>
        </is>
      </c>
      <c r="C30" s="146" t="n"/>
      <c r="D30" s="131" t="n"/>
      <c r="E30" s="153">
        <f>IF(OR(N(C15)=0,N(E26)=0),"-",E26*C15/1000)</f>
        <v/>
      </c>
      <c r="F30" s="146" t="n"/>
      <c r="G30" s="131" t="n"/>
      <c r="H30" s="70" t="n"/>
      <c r="I30" s="70" t="n"/>
      <c r="J30" s="70" t="n"/>
      <c r="K30" s="70" t="n"/>
      <c r="L30" s="70" t="n"/>
    </row>
    <row r="32" ht="19.5" customHeight="1" s="128">
      <c r="B32" s="35" t="inlineStr">
        <is>
          <t>4. Cerintele produsului/produselor ambalate</t>
        </is>
      </c>
      <c r="C32" s="35" t="n"/>
      <c r="D32" s="35" t="n"/>
      <c r="E32" s="36" t="n"/>
      <c r="F32" s="36" t="n"/>
      <c r="G32" s="36" t="n"/>
      <c r="H32" s="36" t="n"/>
      <c r="I32" s="36" t="n"/>
      <c r="J32" s="36" t="n"/>
      <c r="K32" s="36" t="n"/>
      <c r="L32" s="36" t="n"/>
      <c r="M32" s="51" t="n"/>
      <c r="N32" s="51" t="n"/>
    </row>
    <row r="33" ht="30" customHeight="1" s="128">
      <c r="B33" s="112" t="inlineStr">
        <is>
          <t>Daca SKU-urile din sectiunea 2 au cerinte diferite, noteaza diferentele in coloana 'Observatii' din tabelul SKU-urilor.</t>
        </is>
      </c>
      <c r="C33" s="154" t="n"/>
      <c r="D33" s="154" t="n"/>
      <c r="E33" s="154" t="n"/>
      <c r="F33" s="154" t="n"/>
      <c r="G33" s="154" t="n"/>
      <c r="H33" s="154" t="n"/>
      <c r="I33" s="154" t="n"/>
      <c r="J33" s="154" t="n"/>
      <c r="K33" s="154" t="n"/>
      <c r="L33" s="154" t="n"/>
      <c r="M33" s="82" t="n"/>
      <c r="N33" s="82" t="n"/>
    </row>
    <row r="34" ht="31.95" customHeight="1" s="128">
      <c r="B34" s="52" t="inlineStr">
        <is>
          <t>Tip produs (lichid / crema-gel / pudra / solid / altul)</t>
        </is>
      </c>
      <c r="C34" s="162" t="inlineStr">
        <is>
          <t>Crema (emulsie)</t>
        </is>
      </c>
      <c r="D34" s="140" t="n"/>
      <c r="E34" s="140" t="n"/>
      <c r="F34" s="140" t="n"/>
      <c r="G34" s="140" t="n"/>
      <c r="H34" s="140" t="n"/>
      <c r="I34" s="140" t="n"/>
      <c r="J34" s="140" t="n"/>
      <c r="K34" s="140" t="n"/>
      <c r="L34" s="141" t="n"/>
      <c r="M34" s="57" t="n"/>
      <c r="N34" s="57" t="n"/>
    </row>
    <row r="35" ht="46.95" customHeight="1" s="128">
      <c r="B35" s="52" t="inlineStr">
        <is>
          <t>Categorie reglementata a produsului (alimentar / farma / cosmetic / supliment / altul)</t>
        </is>
      </c>
      <c r="C35" s="164" t="inlineStr">
        <is>
          <t>Cosmetic</t>
        </is>
      </c>
      <c r="D35" s="143" t="n"/>
      <c r="E35" s="143" t="n"/>
      <c r="F35" s="143" t="n"/>
      <c r="G35" s="143" t="n"/>
      <c r="H35" s="143" t="n"/>
      <c r="I35" s="143" t="n"/>
      <c r="J35" s="143" t="n"/>
      <c r="K35" s="143" t="n"/>
      <c r="L35" s="144" t="n"/>
      <c r="M35" s="57" t="n"/>
      <c r="N35" s="57" t="n"/>
    </row>
    <row r="36" ht="46.95" customHeight="1" s="128">
      <c r="B36" s="52" t="inlineStr">
        <is>
          <t>Functii cerute ambalajului (pompa, picurator, spray, flip-top, sigiliu, protectie copii)</t>
        </is>
      </c>
      <c r="C36" s="164" t="inlineStr">
        <is>
          <t>Capac simplu, fara dozator</t>
        </is>
      </c>
      <c r="D36" s="143" t="n"/>
      <c r="E36" s="143" t="n"/>
      <c r="F36" s="143" t="n"/>
      <c r="G36" s="143" t="n"/>
      <c r="H36" s="143" t="n"/>
      <c r="I36" s="143" t="n"/>
      <c r="J36" s="143" t="n"/>
      <c r="K36" s="143" t="n"/>
      <c r="L36" s="144" t="n"/>
      <c r="M36" s="57" t="n"/>
      <c r="N36" s="57" t="n"/>
    </row>
    <row r="37" ht="30" customHeight="1" s="128">
      <c r="B37" s="52" t="inlineStr">
        <is>
          <t>Sensibilitate la oxigen</t>
        </is>
      </c>
      <c r="C37" s="162" t="inlineStr">
        <is>
          <t>Medie - necesita bariera O2</t>
        </is>
      </c>
      <c r="D37" s="140" t="n"/>
      <c r="E37" s="140" t="n"/>
      <c r="F37" s="140" t="n"/>
      <c r="G37" s="140" t="n"/>
      <c r="H37" s="140" t="n"/>
      <c r="I37" s="140" t="n"/>
      <c r="J37" s="140" t="n"/>
      <c r="K37" s="140" t="n"/>
      <c r="L37" s="141" t="n"/>
      <c r="M37" s="57" t="n"/>
      <c r="N37" s="57" t="n"/>
    </row>
    <row r="38" ht="30" customHeight="1" s="128">
      <c r="B38" s="52" t="inlineStr">
        <is>
          <t>Sensibilitate la lumina / UV</t>
        </is>
      </c>
      <c r="C38" s="162" t="inlineStr">
        <is>
          <t>Ridicata - recomandat ambalaj opac sau sticla colorata</t>
        </is>
      </c>
      <c r="D38" s="140" t="n"/>
      <c r="E38" s="140" t="n"/>
      <c r="F38" s="140" t="n"/>
      <c r="G38" s="140" t="n"/>
      <c r="H38" s="140" t="n"/>
      <c r="I38" s="140" t="n"/>
      <c r="J38" s="140" t="n"/>
      <c r="K38" s="140" t="n"/>
      <c r="L38" s="141" t="n"/>
      <c r="M38" s="57" t="n"/>
      <c r="N38" s="57" t="n"/>
    </row>
    <row r="39" ht="30" customHeight="1" s="128">
      <c r="B39" s="52" t="inlineStr">
        <is>
          <t>Sensibilitate la umiditate</t>
        </is>
      </c>
      <c r="C39" s="162" t="inlineStr">
        <is>
          <t>Scazuta</t>
        </is>
      </c>
      <c r="D39" s="140" t="n"/>
      <c r="E39" s="140" t="n"/>
      <c r="F39" s="140" t="n"/>
      <c r="G39" s="140" t="n"/>
      <c r="H39" s="140" t="n"/>
      <c r="I39" s="140" t="n"/>
      <c r="J39" s="140" t="n"/>
      <c r="K39" s="140" t="n"/>
      <c r="L39" s="141" t="n"/>
      <c r="M39" s="57" t="n"/>
      <c r="N39" s="57" t="n"/>
    </row>
    <row r="40" ht="31.95" customHeight="1" s="128">
      <c r="B40" s="52" t="inlineStr">
        <is>
          <t>Compatibilitate chimica necesara (grasimi, alcool, acizi, uleiuri)</t>
        </is>
      </c>
      <c r="C40" s="162" t="inlineStr">
        <is>
          <t>Contine faza uleioasa - testare migrare recomandata</t>
        </is>
      </c>
      <c r="D40" s="140" t="n"/>
      <c r="E40" s="140" t="n"/>
      <c r="F40" s="140" t="n"/>
      <c r="G40" s="140" t="n"/>
      <c r="H40" s="140" t="n"/>
      <c r="I40" s="140" t="n"/>
      <c r="J40" s="140" t="n"/>
      <c r="K40" s="140" t="n"/>
      <c r="L40" s="141" t="n"/>
      <c r="M40" s="57" t="n"/>
      <c r="N40" s="57" t="n"/>
    </row>
    <row r="41" ht="30" customHeight="1" s="128">
      <c r="B41" s="52" t="inlineStr">
        <is>
          <t>Temperatura de umplere</t>
        </is>
      </c>
      <c r="C41" s="162" t="inlineStr">
        <is>
          <t>Rece (sub 30°C)</t>
        </is>
      </c>
      <c r="D41" s="140" t="n"/>
      <c r="E41" s="140" t="n"/>
      <c r="F41" s="140" t="n"/>
      <c r="G41" s="140" t="n"/>
      <c r="H41" s="140" t="n"/>
      <c r="I41" s="140" t="n"/>
      <c r="J41" s="140" t="n"/>
      <c r="K41" s="140" t="n"/>
      <c r="L41" s="141" t="n"/>
      <c r="M41" s="57" t="n"/>
      <c r="N41" s="57" t="n"/>
    </row>
    <row r="42" ht="30" customHeight="1" s="128">
      <c r="B42" s="52" t="inlineStr">
        <is>
          <t>Temperatura / conditii de depozitare</t>
        </is>
      </c>
      <c r="C42" s="162" t="inlineStr">
        <is>
          <t>Temperatura camerei, ferit de lumina directa</t>
        </is>
      </c>
      <c r="D42" s="140" t="n"/>
      <c r="E42" s="140" t="n"/>
      <c r="F42" s="140" t="n"/>
      <c r="G42" s="140" t="n"/>
      <c r="H42" s="140" t="n"/>
      <c r="I42" s="140" t="n"/>
      <c r="J42" s="140" t="n"/>
      <c r="K42" s="140" t="n"/>
      <c r="L42" s="141" t="n"/>
      <c r="M42" s="57" t="n"/>
      <c r="N42" s="57" t="n"/>
    </row>
    <row r="43" ht="30" customHeight="1" s="128">
      <c r="B43" s="52" t="inlineStr">
        <is>
          <t>Valabilitate / shelf-life dorita</t>
        </is>
      </c>
      <c r="C43" s="163" t="inlineStr">
        <is>
          <t>24 luni</t>
        </is>
      </c>
      <c r="D43" s="143" t="n"/>
      <c r="E43" s="143" t="n"/>
      <c r="F43" s="143" t="n"/>
      <c r="G43" s="143" t="n"/>
      <c r="H43" s="143" t="n"/>
      <c r="I43" s="143" t="n"/>
      <c r="J43" s="143" t="n"/>
      <c r="K43" s="143" t="n"/>
      <c r="L43" s="144" t="n"/>
      <c r="M43" s="57" t="n"/>
      <c r="N43" s="57" t="n"/>
    </row>
    <row r="45" ht="19.5" customHeight="1" s="128">
      <c r="B45" s="35" t="inlineStr">
        <is>
          <t>5. Procesul de ambalare si utilajele clientului</t>
        </is>
      </c>
      <c r="C45" s="35" t="n"/>
      <c r="D45" s="35" t="n"/>
      <c r="E45" s="36" t="n"/>
      <c r="F45" s="36" t="n"/>
      <c r="G45" s="36" t="n"/>
      <c r="H45" s="36" t="n"/>
      <c r="I45" s="36" t="n"/>
      <c r="J45" s="36" t="n"/>
      <c r="K45" s="36" t="n"/>
      <c r="L45" s="36" t="n"/>
      <c r="M45" s="51" t="n"/>
      <c r="N45" s="51" t="n"/>
    </row>
    <row r="46" ht="31.95" customHeight="1" s="128">
      <c r="B46" s="52" t="inlineStr">
        <is>
          <t>Tip linie de ambalare (automata / semi-automata / manuala)</t>
        </is>
      </c>
      <c r="C46" s="162" t="inlineStr">
        <is>
          <t>Automata</t>
        </is>
      </c>
      <c r="D46" s="140" t="n"/>
      <c r="E46" s="140" t="n"/>
      <c r="F46" s="140" t="n"/>
      <c r="G46" s="140" t="n"/>
      <c r="H46" s="140" t="n"/>
      <c r="I46" s="140" t="n"/>
      <c r="J46" s="140" t="n"/>
      <c r="K46" s="140" t="n"/>
      <c r="L46" s="141" t="n"/>
      <c r="M46" s="57" t="n"/>
      <c r="N46" s="57" t="n"/>
    </row>
    <row r="47" ht="30" customHeight="1" s="128">
      <c r="B47" s="52" t="inlineStr">
        <is>
          <t>Viteza linie (buc/min)</t>
        </is>
      </c>
      <c r="C47" s="162" t="inlineStr">
        <is>
          <t>60 buc/min</t>
        </is>
      </c>
      <c r="D47" s="140" t="n"/>
      <c r="E47" s="140" t="n"/>
      <c r="F47" s="140" t="n"/>
      <c r="G47" s="140" t="n"/>
      <c r="H47" s="140" t="n"/>
      <c r="I47" s="140" t="n"/>
      <c r="J47" s="140" t="n"/>
      <c r="K47" s="140" t="n"/>
      <c r="L47" s="141" t="n"/>
      <c r="M47" s="57" t="n"/>
      <c r="N47" s="57" t="n"/>
    </row>
    <row r="48" ht="31.95" customHeight="1" s="128">
      <c r="B48" s="52" t="inlineStr">
        <is>
          <t>Tip umplere (volumetrica, la rece/cald, aseptica)</t>
        </is>
      </c>
      <c r="C48" s="162" t="inlineStr">
        <is>
          <t>Volumetrica, la rece</t>
        </is>
      </c>
      <c r="D48" s="140" t="n"/>
      <c r="E48" s="140" t="n"/>
      <c r="F48" s="140" t="n"/>
      <c r="G48" s="140" t="n"/>
      <c r="H48" s="140" t="n"/>
      <c r="I48" s="140" t="n"/>
      <c r="J48" s="140" t="n"/>
      <c r="K48" s="140" t="n"/>
      <c r="L48" s="141" t="n"/>
      <c r="M48" s="57" t="n"/>
      <c r="N48" s="57" t="n"/>
    </row>
    <row r="49" ht="31.95" customHeight="1" s="128">
      <c r="B49" s="52" t="inlineStr">
        <is>
          <t>Tip inchidere folosit pe linie (infoliere, capsare, presare, inductie)</t>
        </is>
      </c>
      <c r="C49" s="162" t="inlineStr">
        <is>
          <t>Capsare prin presare</t>
        </is>
      </c>
      <c r="D49" s="140" t="n"/>
      <c r="E49" s="140" t="n"/>
      <c r="F49" s="140" t="n"/>
      <c r="G49" s="140" t="n"/>
      <c r="H49" s="140" t="n"/>
      <c r="I49" s="140" t="n"/>
      <c r="J49" s="140" t="n"/>
      <c r="K49" s="140" t="n"/>
      <c r="L49" s="141" t="n"/>
      <c r="M49" s="57" t="n"/>
      <c r="N49" s="57" t="n"/>
    </row>
    <row r="50" ht="31.95" customHeight="1" s="128">
      <c r="B50" s="52" t="inlineStr">
        <is>
          <t>Cod gat / finisaj compatibil cu echipamentul existent</t>
        </is>
      </c>
      <c r="C50" s="162" t="inlineStr">
        <is>
          <t>Finisaj GPI 43mm - de confirmat cu desenul tehnic</t>
        </is>
      </c>
      <c r="D50" s="140" t="n"/>
      <c r="E50" s="140" t="n"/>
      <c r="F50" s="140" t="n"/>
      <c r="G50" s="140" t="n"/>
      <c r="H50" s="140" t="n"/>
      <c r="I50" s="140" t="n"/>
      <c r="J50" s="140" t="n"/>
      <c r="K50" s="140" t="n"/>
      <c r="L50" s="141" t="n"/>
      <c r="M50" s="57" t="n"/>
      <c r="N50" s="57" t="n"/>
    </row>
    <row r="51" ht="31.95" customHeight="1" s="128">
      <c r="B51" s="52" t="inlineStr">
        <is>
          <t>Tip etichetare folosit (aplicator rece/cald, sleeve, manual)</t>
        </is>
      </c>
      <c r="C51" s="162" t="inlineStr">
        <is>
          <t>Aplicator adeziv la rece</t>
        </is>
      </c>
      <c r="D51" s="140" t="n"/>
      <c r="E51" s="140" t="n"/>
      <c r="F51" s="140" t="n"/>
      <c r="G51" s="140" t="n"/>
      <c r="H51" s="140" t="n"/>
      <c r="I51" s="140" t="n"/>
      <c r="J51" s="140" t="n"/>
      <c r="K51" s="140" t="n"/>
      <c r="L51" s="141" t="n"/>
      <c r="M51" s="57" t="n"/>
      <c r="N51" s="57" t="n"/>
    </row>
    <row r="52" ht="30" customHeight="1" s="128">
      <c r="B52" s="52" t="inlineStr">
        <is>
          <t>Ambalaj secundar / paletizare</t>
        </is>
      </c>
      <c r="C52" s="162" t="inlineStr">
        <is>
          <t>Cutii de 24 buc, paleti EUR</t>
        </is>
      </c>
      <c r="D52" s="140" t="n"/>
      <c r="E52" s="140" t="n"/>
      <c r="F52" s="140" t="n"/>
      <c r="G52" s="140" t="n"/>
      <c r="H52" s="140" t="n"/>
      <c r="I52" s="140" t="n"/>
      <c r="J52" s="140" t="n"/>
      <c r="K52" s="140" t="n"/>
      <c r="L52" s="141" t="n"/>
      <c r="M52" s="57" t="n"/>
      <c r="N52" s="57" t="n"/>
    </row>
    <row r="53" ht="31.95" customHeight="1" s="128">
      <c r="B53" s="52" t="inlineStr">
        <is>
          <t>Limitari cunoscute ale liniei (greutate maxima, diametru, inaltime)</t>
        </is>
      </c>
      <c r="C53" s="163" t="inlineStr">
        <is>
          <t>Diametru maxim flacon 60mm</t>
        </is>
      </c>
      <c r="D53" s="143" t="n"/>
      <c r="E53" s="143" t="n"/>
      <c r="F53" s="143" t="n"/>
      <c r="G53" s="143" t="n"/>
      <c r="H53" s="143" t="n"/>
      <c r="I53" s="143" t="n"/>
      <c r="J53" s="143" t="n"/>
      <c r="K53" s="143" t="n"/>
      <c r="L53" s="144" t="n"/>
      <c r="M53" s="57" t="n"/>
      <c r="N53" s="57" t="n"/>
    </row>
    <row r="55" ht="19.5" customHeight="1" s="128">
      <c r="B55" s="35" t="inlineStr">
        <is>
          <t>6. Analiza de risc si conformitate PPWR — completata de MIRALEDO, impreuna cu clientul</t>
        </is>
      </c>
      <c r="C55" s="35" t="n"/>
      <c r="D55" s="35" t="n"/>
      <c r="E55" s="36" t="n"/>
      <c r="F55" s="36" t="n"/>
      <c r="G55" s="36" t="n"/>
      <c r="H55" s="36" t="n"/>
      <c r="I55" s="36" t="n"/>
      <c r="J55" s="36" t="n"/>
      <c r="K55" s="36" t="n"/>
      <c r="L55" s="36" t="n"/>
      <c r="M55" s="51" t="n"/>
      <c r="N55" s="51" t="n"/>
    </row>
    <row r="56" ht="30" customHeight="1" s="128">
      <c r="B56" s="112" t="inlineStr">
        <is>
          <t>Evaluare comerciala interna MIRALEDO a ambalajului ACTUAL. Nu reprezinta o certificare oficiala PPWR (nu exista asa ceva) - clasa de la sectiunea 3 e calculata din datele introduse pentru fiecare componenta.</t>
        </is>
      </c>
      <c r="C56" s="154" t="n"/>
      <c r="D56" s="154" t="n"/>
      <c r="E56" s="154" t="n"/>
      <c r="F56" s="154" t="n"/>
      <c r="G56" s="154" t="n"/>
      <c r="H56" s="154" t="n"/>
      <c r="I56" s="154" t="n"/>
      <c r="J56" s="154" t="n"/>
      <c r="K56" s="154" t="n"/>
      <c r="L56" s="154" t="n"/>
      <c r="M56" s="82" t="n"/>
      <c r="N56" s="82" t="n"/>
    </row>
    <row r="57" ht="31.95" customHeight="1" s="128">
      <c r="B57" s="52" t="inlineStr">
        <is>
          <t>Testare substante restrictionate (PFAS etc.) efectuata?</t>
        </is>
      </c>
      <c r="C57" s="162" t="inlineStr">
        <is>
          <t>Nu - nicio testare cunoscuta</t>
        </is>
      </c>
      <c r="D57" s="140" t="n"/>
      <c r="E57" s="140" t="n"/>
      <c r="F57" s="140" t="n"/>
      <c r="G57" s="140" t="n"/>
      <c r="H57" s="140" t="n"/>
      <c r="I57" s="140" t="n"/>
      <c r="J57" s="140" t="n"/>
      <c r="K57" s="140" t="n"/>
      <c r="L57" s="141" t="n"/>
      <c r="M57" s="57" t="n"/>
      <c r="N57" s="57" t="n"/>
    </row>
    <row r="58" ht="45" customHeight="1" s="128">
      <c r="B58" s="52" t="inlineStr">
        <is>
          <t>Documentatie de conformitate disponibila (documentatie tehnica - Anexa VII; declaratie UE - Anexa VIII)</t>
        </is>
      </c>
      <c r="C58" s="162" t="inlineStr">
        <is>
          <t>Nu a fost solicitata</t>
        </is>
      </c>
      <c r="D58" s="140" t="n"/>
      <c r="E58" s="140" t="n"/>
      <c r="F58" s="140" t="n"/>
      <c r="G58" s="140" t="n"/>
      <c r="H58" s="140" t="n"/>
      <c r="I58" s="140" t="n"/>
      <c r="J58" s="140" t="n"/>
      <c r="K58" s="140" t="n"/>
      <c r="L58" s="141" t="n"/>
      <c r="M58" s="57" t="n"/>
      <c r="N58" s="57" t="n"/>
    </row>
    <row r="59" ht="31.95" customHeight="1" s="128">
      <c r="B59" s="52" t="inlineStr">
        <is>
          <t>Expunere la restrictii de format PPWR (Anexa V)</t>
        </is>
      </c>
      <c r="C59" s="162" t="inlineStr">
        <is>
          <t>Nu este cazul pentru acest produs</t>
        </is>
      </c>
      <c r="D59" s="140" t="n"/>
      <c r="E59" s="140" t="n"/>
      <c r="F59" s="140" t="n"/>
      <c r="G59" s="140" t="n"/>
      <c r="H59" s="140" t="n"/>
      <c r="I59" s="140" t="n"/>
      <c r="J59" s="140" t="n"/>
      <c r="K59" s="140" t="n"/>
      <c r="L59" s="141" t="n"/>
      <c r="M59" s="57" t="n"/>
      <c r="N59" s="57" t="n"/>
    </row>
    <row r="60" ht="31.95" customHeight="1" s="128">
      <c r="B60" s="52" t="inlineStr">
        <is>
          <t>Aplicabilitate obligatii reutilizare / reumplere (2027-2030)</t>
        </is>
      </c>
      <c r="C60" s="162" t="inlineStr">
        <is>
          <t>Nu este cazul</t>
        </is>
      </c>
      <c r="D60" s="140" t="n"/>
      <c r="E60" s="140" t="n"/>
      <c r="F60" s="140" t="n"/>
      <c r="G60" s="140" t="n"/>
      <c r="H60" s="140" t="n"/>
      <c r="I60" s="140" t="n"/>
      <c r="J60" s="140" t="n"/>
      <c r="K60" s="140" t="n"/>
      <c r="L60" s="141" t="n"/>
      <c r="M60" s="57" t="n"/>
      <c r="N60" s="57" t="n"/>
    </row>
    <row r="61" ht="31.95" customHeight="1" s="128">
      <c r="B61" s="52" t="inlineStr">
        <is>
          <t>Nivel de risc PPWR (Ridicat / Mediu / Scazut)</t>
        </is>
      </c>
      <c r="C61" s="162" t="inlineStr">
        <is>
          <t>Mediu</t>
        </is>
      </c>
      <c r="D61" s="140" t="n"/>
      <c r="E61" s="140" t="n"/>
      <c r="F61" s="140" t="n"/>
      <c r="G61" s="140" t="n"/>
      <c r="H61" s="140" t="n"/>
      <c r="I61" s="140" t="n"/>
      <c r="J61" s="140" t="n"/>
      <c r="K61" s="140" t="n"/>
      <c r="L61" s="141" t="n"/>
      <c r="M61" s="57" t="n"/>
      <c r="N61" s="57" t="n"/>
    </row>
    <row r="62" ht="31.95" customHeight="1" s="128">
      <c r="B62" s="52" t="inlineStr">
        <is>
          <t>Motivatie risc identificat</t>
        </is>
      </c>
      <c r="C62" s="162" t="inlineStr">
        <is>
          <t>Eticheta de material diferit lipita direct scade reciclabilitatea; continutul reciclat al flaconului nu e certificat</t>
        </is>
      </c>
      <c r="D62" s="140" t="n"/>
      <c r="E62" s="140" t="n"/>
      <c r="F62" s="140" t="n"/>
      <c r="G62" s="140" t="n"/>
      <c r="H62" s="140" t="n"/>
      <c r="I62" s="140" t="n"/>
      <c r="J62" s="140" t="n"/>
      <c r="K62" s="140" t="n"/>
      <c r="L62" s="141" t="n"/>
      <c r="M62" s="57" t="n"/>
      <c r="N62" s="57" t="n"/>
    </row>
    <row r="63" ht="31.95" customHeight="1" s="128">
      <c r="B63" s="52" t="inlineStr">
        <is>
          <t>Oportunitati de imbunatatire propuse de MIRALEDO</t>
        </is>
      </c>
      <c r="C63" s="162" t="inlineStr">
        <is>
          <t>Eticheta detasabila/sleeve din acelasi material; flacon cu PCR certificat</t>
        </is>
      </c>
      <c r="D63" s="140" t="n"/>
      <c r="E63" s="140" t="n"/>
      <c r="F63" s="140" t="n"/>
      <c r="G63" s="140" t="n"/>
      <c r="H63" s="140" t="n"/>
      <c r="I63" s="140" t="n"/>
      <c r="J63" s="140" t="n"/>
      <c r="K63" s="140" t="n"/>
      <c r="L63" s="141" t="n"/>
      <c r="M63" s="57" t="n"/>
      <c r="N63" s="57" t="n"/>
    </row>
    <row r="64" ht="31.95" customHeight="1" s="128">
      <c r="B64" s="52" t="inlineStr">
        <is>
          <t>Beneficiu estimat (cost EPR, conformitate, imagine)</t>
        </is>
      </c>
      <c r="C64" s="162" t="inlineStr">
        <is>
          <t>Reducere contributie Fond Mediu, argument de sustenabilitate pentru client</t>
        </is>
      </c>
      <c r="D64" s="140" t="n"/>
      <c r="E64" s="140" t="n"/>
      <c r="F64" s="140" t="n"/>
      <c r="G64" s="140" t="n"/>
      <c r="H64" s="140" t="n"/>
      <c r="I64" s="140" t="n"/>
      <c r="J64" s="140" t="n"/>
      <c r="K64" s="140" t="n"/>
      <c r="L64" s="141" t="n"/>
      <c r="M64" s="57" t="n"/>
      <c r="N64" s="57" t="n"/>
    </row>
    <row r="65" ht="30" customHeight="1" s="128">
      <c r="B65" s="52" t="inlineStr">
        <is>
          <t>Termen legal relevant / urgenta</t>
        </is>
      </c>
      <c r="C65" s="163" t="inlineStr">
        <is>
          <t>Etichetare armonizata din 2028 - fereastra confortabila</t>
        </is>
      </c>
      <c r="D65" s="143" t="n"/>
      <c r="E65" s="143" t="n"/>
      <c r="F65" s="143" t="n"/>
      <c r="G65" s="143" t="n"/>
      <c r="H65" s="143" t="n"/>
      <c r="I65" s="143" t="n"/>
      <c r="J65" s="143" t="n"/>
      <c r="K65" s="143" t="n"/>
      <c r="L65" s="144" t="n"/>
      <c r="M65" s="57" t="n"/>
      <c r="N65" s="57" t="n"/>
    </row>
    <row r="67" ht="19.5" customHeight="1" s="128">
      <c r="B67" s="35" t="inlineStr">
        <is>
          <t>7. Comercial si pasi urmatori — sectiune interna MIRALEDO</t>
        </is>
      </c>
      <c r="C67" s="35" t="n"/>
      <c r="D67" s="35" t="n"/>
      <c r="E67" s="36" t="n"/>
      <c r="F67" s="36" t="n"/>
      <c r="G67" s="36" t="n"/>
      <c r="H67" s="36" t="n"/>
      <c r="I67" s="36" t="n"/>
      <c r="J67" s="36" t="n"/>
      <c r="K67" s="36" t="n"/>
      <c r="L67" s="36" t="n"/>
      <c r="M67" s="51" t="n"/>
      <c r="N67" s="51" t="n"/>
    </row>
    <row r="68" ht="30" customHeight="1" s="128">
      <c r="B68" s="52" t="inlineStr">
        <is>
          <t>Pret tinta client (unitate completa, EUR / 1000 buc)</t>
        </is>
      </c>
      <c r="C68" s="162" t="inlineStr">
        <is>
          <t>400 EUR / 1000 buc</t>
        </is>
      </c>
      <c r="D68" s="140" t="n"/>
      <c r="E68" s="140" t="n"/>
      <c r="F68" s="140" t="n"/>
      <c r="G68" s="140" t="n"/>
      <c r="H68" s="140" t="n"/>
      <c r="I68" s="140" t="n"/>
      <c r="J68" s="140" t="n"/>
      <c r="K68" s="140" t="n"/>
      <c r="L68" s="141" t="n"/>
      <c r="M68" s="57" t="n"/>
      <c r="N68" s="57" t="n"/>
    </row>
    <row r="69" ht="30" customHeight="1" s="128">
      <c r="B69" s="52" t="inlineStr">
        <is>
          <t>Conditii de livrare (Incoterms)</t>
        </is>
      </c>
      <c r="C69" s="162" t="inlineStr">
        <is>
          <t>DAP Bucuresti</t>
        </is>
      </c>
      <c r="D69" s="140" t="n"/>
      <c r="E69" s="140" t="n"/>
      <c r="F69" s="140" t="n"/>
      <c r="G69" s="140" t="n"/>
      <c r="H69" s="140" t="n"/>
      <c r="I69" s="140" t="n"/>
      <c r="J69" s="140" t="n"/>
      <c r="K69" s="140" t="n"/>
      <c r="L69" s="141" t="n"/>
      <c r="M69" s="57" t="n"/>
      <c r="N69" s="57" t="n"/>
    </row>
    <row r="70" ht="31.95" customHeight="1" s="128">
      <c r="B70" s="52" t="inlineStr">
        <is>
          <t>Problema / nevoie identificata la client</t>
        </is>
      </c>
      <c r="C70" s="162" t="inlineStr">
        <is>
          <t>Cauta reducere cost si continut reciclat</t>
        </is>
      </c>
      <c r="D70" s="140" t="n"/>
      <c r="E70" s="140" t="n"/>
      <c r="F70" s="140" t="n"/>
      <c r="G70" s="140" t="n"/>
      <c r="H70" s="140" t="n"/>
      <c r="I70" s="140" t="n"/>
      <c r="J70" s="140" t="n"/>
      <c r="K70" s="140" t="n"/>
      <c r="L70" s="141" t="n"/>
      <c r="M70" s="57" t="n"/>
      <c r="N70" s="57" t="n"/>
    </row>
    <row r="71" ht="31.95" customHeight="1" s="128">
      <c r="B71" s="52" t="inlineStr">
        <is>
          <t>Stadiu pipeline (vezi Sales Pipeline CRM)</t>
        </is>
      </c>
      <c r="C71" s="162" t="inlineStr">
        <is>
          <t>NEVOIE IDENTIFICATA</t>
        </is>
      </c>
      <c r="D71" s="140" t="n"/>
      <c r="E71" s="140" t="n"/>
      <c r="F71" s="140" t="n"/>
      <c r="G71" s="140" t="n"/>
      <c r="H71" s="140" t="n"/>
      <c r="I71" s="140" t="n"/>
      <c r="J71" s="140" t="n"/>
      <c r="K71" s="140" t="n"/>
      <c r="L71" s="141" t="n"/>
      <c r="M71" s="57" t="n"/>
      <c r="N71" s="57" t="n"/>
    </row>
    <row r="72" ht="30" customHeight="1" s="128">
      <c r="B72" s="52" t="inlineStr">
        <is>
          <t>Urmatoarea actiune</t>
        </is>
      </c>
      <c r="C72" s="162" t="inlineStr">
        <is>
          <t>Trimis catre furnizor Z pentru oferta PCR pe flacon</t>
        </is>
      </c>
      <c r="D72" s="140" t="n"/>
      <c r="E72" s="140" t="n"/>
      <c r="F72" s="140" t="n"/>
      <c r="G72" s="140" t="n"/>
      <c r="H72" s="140" t="n"/>
      <c r="I72" s="140" t="n"/>
      <c r="J72" s="140" t="n"/>
      <c r="K72" s="140" t="n"/>
      <c r="L72" s="141" t="n"/>
      <c r="M72" s="57" t="n"/>
      <c r="N72" s="57" t="n"/>
    </row>
    <row r="73" ht="30" customHeight="1" s="128">
      <c r="B73" s="52" t="inlineStr">
        <is>
          <t>Data urmatorului follow-up</t>
        </is>
      </c>
      <c r="C73" s="163" t="inlineStr">
        <is>
          <t>05.10.2026</t>
        </is>
      </c>
      <c r="D73" s="143" t="n"/>
      <c r="E73" s="143" t="n"/>
      <c r="F73" s="143" t="n"/>
      <c r="G73" s="143" t="n"/>
      <c r="H73" s="143" t="n"/>
      <c r="I73" s="143" t="n"/>
      <c r="J73" s="143" t="n"/>
      <c r="K73" s="143" t="n"/>
      <c r="L73" s="144" t="n"/>
      <c r="M73" s="57" t="n"/>
      <c r="N73" s="57" t="n"/>
    </row>
    <row r="76" ht="18" customHeight="1" s="128">
      <c r="B76" s="54" t="inlineStr">
        <is>
          <t>Observatii</t>
        </is>
      </c>
      <c r="C76" s="155" t="n"/>
      <c r="D76" s="140" t="n"/>
      <c r="E76" s="140" t="n"/>
      <c r="F76" s="140" t="n"/>
      <c r="G76" s="140" t="n"/>
      <c r="H76" s="140" t="n"/>
      <c r="I76" s="140" t="n"/>
      <c r="J76" s="140" t="n"/>
      <c r="K76" s="140" t="n"/>
      <c r="L76" s="141" t="n"/>
      <c r="M76" s="4" t="n"/>
      <c r="N76" s="4" t="n"/>
    </row>
    <row r="77" ht="18" customHeight="1" s="128">
      <c r="C77" s="156" t="n"/>
      <c r="D77" s="157" t="n"/>
      <c r="E77" s="157" t="n"/>
      <c r="F77" s="157" t="n"/>
      <c r="G77" s="157" t="n"/>
      <c r="H77" s="157" t="n"/>
      <c r="I77" s="157" t="n"/>
      <c r="J77" s="157" t="n"/>
      <c r="K77" s="157" t="n"/>
      <c r="L77" s="158" t="n"/>
      <c r="M77" s="4" t="n"/>
      <c r="N77" s="4" t="n"/>
    </row>
    <row r="78" ht="18" customHeight="1" s="128">
      <c r="C78" s="159" t="n"/>
      <c r="D78" s="160" t="n"/>
      <c r="E78" s="160" t="n"/>
      <c r="F78" s="160" t="n"/>
      <c r="G78" s="160" t="n"/>
      <c r="H78" s="160" t="n"/>
      <c r="I78" s="160" t="n"/>
      <c r="J78" s="160" t="n"/>
      <c r="K78" s="160" t="n"/>
      <c r="L78" s="161" t="n"/>
      <c r="M78" s="4" t="n"/>
      <c r="N78" s="4" t="n"/>
    </row>
  </sheetData>
  <sheetProtection selectLockedCells="0" selectUnlockedCells="0" sheet="1" objects="1" insertRows="1" insertHyperlinks="1" autoFilter="1" scenarios="1" formatColumns="0" deleteColumns="1" insertColumns="1" pivotTables="1" deleteRows="1" formatCells="1" formatRows="0" sort="1"/>
  <mergeCells count="54">
    <mergeCell ref="C71:L71"/>
    <mergeCell ref="E12:L12"/>
    <mergeCell ref="E28:G28"/>
    <mergeCell ref="C61:L61"/>
    <mergeCell ref="C39:L39"/>
    <mergeCell ref="C52:L52"/>
    <mergeCell ref="C70:L70"/>
    <mergeCell ref="C8:L8"/>
    <mergeCell ref="C48:L48"/>
    <mergeCell ref="C7:L7"/>
    <mergeCell ref="E14:L14"/>
    <mergeCell ref="E30:G30"/>
    <mergeCell ref="C76:L78"/>
    <mergeCell ref="B29:D29"/>
    <mergeCell ref="C38:L38"/>
    <mergeCell ref="C72:L72"/>
    <mergeCell ref="B56:L56"/>
    <mergeCell ref="C57:L57"/>
    <mergeCell ref="C37:L37"/>
    <mergeCell ref="B28:D28"/>
    <mergeCell ref="C53:L53"/>
    <mergeCell ref="C69:L69"/>
    <mergeCell ref="C49:L49"/>
    <mergeCell ref="E10:L10"/>
    <mergeCell ref="C68:L68"/>
    <mergeCell ref="C34:L34"/>
    <mergeCell ref="B30:D30"/>
    <mergeCell ref="E13:L13"/>
    <mergeCell ref="C6:L6"/>
    <mergeCell ref="C62:L62"/>
    <mergeCell ref="C42:L42"/>
    <mergeCell ref="C58:L58"/>
    <mergeCell ref="C5:L5"/>
    <mergeCell ref="C73:L73"/>
    <mergeCell ref="C4:L4"/>
    <mergeCell ref="C64:L64"/>
    <mergeCell ref="E11:L11"/>
    <mergeCell ref="B26:D26"/>
    <mergeCell ref="C35:L35"/>
    <mergeCell ref="C63:L63"/>
    <mergeCell ref="C65:L65"/>
    <mergeCell ref="C47:L47"/>
    <mergeCell ref="C50:L50"/>
    <mergeCell ref="C41:L41"/>
    <mergeCell ref="C40:L40"/>
    <mergeCell ref="B33:L33"/>
    <mergeCell ref="B27:D27"/>
    <mergeCell ref="C59:L59"/>
    <mergeCell ref="C43:L43"/>
    <mergeCell ref="C51:L51"/>
    <mergeCell ref="C46:L46"/>
    <mergeCell ref="E29:G29"/>
    <mergeCell ref="C60:L60"/>
    <mergeCell ref="C36:L36"/>
  </mergeCells>
  <dataValidations count="10">
    <dataValidation sqref="E18:E25" showDropDown="0" showInputMessage="1" showErrorMessage="1" allowBlank="1" errorTitle="Valoare invalida" error="Greutatea se scrie in grame, ca numar pozitiv (ex: 12 sau 1,5)." type="decimal">
      <formula1>0</formula1>
      <formula2>100000</formula2>
    </dataValidation>
    <dataValidation sqref="F18:F25" showDropDown="0" showInputMessage="1" showErrorMessage="1" allowBlank="1" errorTitle="Valoare invalida" error="Scrieti un procent intre 0% si 100% (ex: 60%)." type="decimal">
      <formula1>0</formula1>
      <formula2>1</formula2>
    </dataValidation>
    <dataValidation sqref="H18:H25" showDropDown="0" showInputMessage="1" showErrorMessage="1" allowBlank="1" errorTitle="Valoare invalida" error="Scrieti un procent intre 0% si 100% (ex: 30%)." type="decimal">
      <formula1>0</formula1>
      <formula2>1</formula2>
    </dataValidation>
    <dataValidation sqref="C37:C39" showDropDown="0" showInputMessage="1" showErrorMessage="1" allowBlank="1" errorTitle="Valoare invalida" error="Valoarea nu este in lista. Puteti continua daca este intentionat (ex: cu detalii)." type="list" errorStyle="information">
      <formula1>"Scazuta,Medie,Ridicata"</formula1>
    </dataValidation>
    <dataValidation sqref="C46" showDropDown="0" showInputMessage="1" showErrorMessage="1" allowBlank="1" errorTitle="Valoare invalida" error="Valoarea nu este in lista. Puteti continua daca este intentionat (ex: cu detalii)." type="list" errorStyle="information">
      <formula1>"Automata,Semi-automata,Manuala"</formula1>
    </dataValidation>
    <dataValidation sqref="C57:C58" showDropDown="0" showInputMessage="1" showErrorMessage="1" allowBlank="1" errorTitle="Valoare invalida" error="Valoarea nu este in lista. Puteti continua daca este intentionat (ex: cu detalii)." type="list" errorStyle="information">
      <formula1>"Da,Nu,De confirmat"</formula1>
    </dataValidation>
    <dataValidation sqref="C61" showDropDown="0" showInputMessage="1" showErrorMessage="1" allowBlank="1" errorTitle="Valoare invalida" error="Alegeti: Ridicat, Mediu sau Scazut." type="list">
      <formula1>"Ridicat,Mediu,Scazut"</formula1>
    </dataValidation>
    <dataValidation sqref="C11:C14" showDropDown="0" showInputMessage="1" showErrorMessage="1" allowBlank="1" errorTitle="Valoare invalida" error="Scrieti volumul anual ca numar (buc/an), fara text." type="decimal" operator="greaterThanOrEqual">
      <formula1>0</formula1>
    </dataValidation>
    <dataValidation sqref="C35" showDropDown="0" showInputMessage="1" showErrorMessage="1" allowBlank="1" errorTitle="Valoare invalida" error="Valoarea nu este in lista. Puteti continua daca este intentionat." type="list" errorStyle="information">
      <formula1>"Alimentar,Farma,Cosmetic,Supliment alimentar,Altul"</formula1>
    </dataValidation>
    <dataValidation sqref="K18:K25" showDropDown="0" showInputMessage="1" showErrorMessage="1" allowBlank="1" errorTitle="Valoare invalida" error="Scrieti pretul ca numar in EUR / 1000 buc (ex: 300)." type="decimal" operator="greaterThanOrEqual">
      <formula1>0</formula1>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B2:N78"/>
  <sheetViews>
    <sheetView showGridLines="0" zoomScaleNormal="100" workbookViewId="0">
      <selection activeCell="A1" sqref="A1"/>
    </sheetView>
  </sheetViews>
  <sheetFormatPr baseColWidth="8" defaultColWidth="8.6640625" defaultRowHeight="14.4"/>
  <cols>
    <col width="3" customWidth="1" style="128" min="1" max="1"/>
    <col width="38.88671875" customWidth="1" style="128" min="2" max="2"/>
    <col width="18.5546875" customWidth="1" style="128" min="3" max="3"/>
    <col width="15.77734375" customWidth="1" style="128" min="4" max="4"/>
    <col width="11.44140625" customWidth="1" style="128" min="5" max="5"/>
    <col width="13" customWidth="1" style="128" min="6" max="6"/>
    <col width="12.5546875" customWidth="1" style="128" min="7" max="7"/>
    <col width="13.33203125" customWidth="1" style="128" min="8" max="8"/>
    <col width="15.77734375" customWidth="1" style="128" min="9" max="9"/>
    <col width="14.77734375" customWidth="1" style="128" min="10" max="10"/>
    <col width="17.5546875" customWidth="1" style="128" min="11" max="11"/>
    <col width="27.77734375" customWidth="1" style="128" min="12" max="12"/>
    <col width="11.109375" customWidth="1" style="128" min="13" max="13"/>
    <col width="25.88671875" customWidth="1" style="128" min="14" max="14"/>
    <col width="3" customWidth="1" style="128" min="15" max="15"/>
  </cols>
  <sheetData>
    <row r="1" ht="15" customHeight="1" s="128"/>
    <row r="2" ht="27.75" customHeight="1" s="128">
      <c r="B2" s="129" t="inlineStr">
        <is>
          <t>Fisa de analiza — unitate de ambalaj</t>
        </is>
      </c>
      <c r="C2" s="129" t="n"/>
      <c r="D2" s="129" t="n"/>
      <c r="E2" s="34" t="n"/>
      <c r="F2" s="34" t="n"/>
      <c r="G2" s="34" t="n"/>
      <c r="H2" s="34" t="n"/>
      <c r="I2" s="34" t="n"/>
      <c r="J2" s="34" t="n"/>
      <c r="K2" s="34" t="n"/>
      <c r="L2" s="34" t="n"/>
    </row>
    <row r="3" ht="19.5" customHeight="1" s="128">
      <c r="B3" s="35" t="inlineStr">
        <is>
          <t>1. Identificare unitate de ambalaj</t>
        </is>
      </c>
      <c r="C3" s="35" t="n"/>
      <c r="D3" s="35" t="n"/>
      <c r="E3" s="36" t="n"/>
      <c r="F3" s="36" t="n"/>
      <c r="G3" s="36" t="n"/>
      <c r="H3" s="36" t="n"/>
      <c r="I3" s="36" t="n"/>
      <c r="J3" s="36" t="n"/>
      <c r="K3" s="36" t="n"/>
      <c r="L3" s="36" t="n"/>
      <c r="M3" s="51" t="n"/>
      <c r="N3" s="51" t="n"/>
    </row>
    <row r="4" ht="31.95" customHeight="1" s="128">
      <c r="B4" s="52" t="inlineStr">
        <is>
          <t>Denumire unitate (pe baza componentelor)</t>
        </is>
      </c>
      <c r="C4" s="139" t="n"/>
      <c r="D4" s="140" t="n"/>
      <c r="E4" s="140" t="n"/>
      <c r="F4" s="140" t="n"/>
      <c r="G4" s="140" t="n"/>
      <c r="H4" s="140" t="n"/>
      <c r="I4" s="140" t="n"/>
      <c r="J4" s="140" t="n"/>
      <c r="K4" s="140" t="n"/>
      <c r="L4" s="141" t="n"/>
      <c r="M4" s="55" t="n"/>
      <c r="N4" s="55" t="n"/>
    </row>
    <row r="5" ht="31.95" customHeight="1" s="128">
      <c r="B5" s="52" t="inlineStr">
        <is>
          <t>Furnizor/configuratie de referinta (daca exista)</t>
        </is>
      </c>
      <c r="C5" s="142" t="n"/>
      <c r="D5" s="143" t="n"/>
      <c r="E5" s="143" t="n"/>
      <c r="F5" s="143" t="n"/>
      <c r="G5" s="143" t="n"/>
      <c r="H5" s="143" t="n"/>
      <c r="I5" s="143" t="n"/>
      <c r="J5" s="143" t="n"/>
      <c r="K5" s="143" t="n"/>
      <c r="L5" s="144" t="n"/>
      <c r="M5" s="55" t="n"/>
      <c r="N5" s="55" t="n"/>
    </row>
    <row r="6" ht="30" customHeight="1" s="128">
      <c r="B6" s="52" t="inlineStr">
        <is>
          <t>Capacitate nominala (ml / g)</t>
        </is>
      </c>
      <c r="C6" s="145" t="n"/>
      <c r="D6" s="143" t="n"/>
      <c r="E6" s="143" t="n"/>
      <c r="F6" s="143" t="n"/>
      <c r="G6" s="143" t="n"/>
      <c r="H6" s="143" t="n"/>
      <c r="I6" s="143" t="n"/>
      <c r="J6" s="143" t="n"/>
      <c r="K6" s="143" t="n"/>
      <c r="L6" s="144" t="n"/>
      <c r="M6" s="55" t="n"/>
      <c r="N6" s="55" t="n"/>
    </row>
    <row r="7" ht="34.05" customHeight="1" s="128">
      <c r="B7" s="52" t="inlineStr">
        <is>
          <t>Dimensiuni principale (diametru x inaltime, mm)</t>
        </is>
      </c>
      <c r="C7" s="145" t="n"/>
      <c r="D7" s="143" t="n"/>
      <c r="E7" s="143" t="n"/>
      <c r="F7" s="143" t="n"/>
      <c r="G7" s="143" t="n"/>
      <c r="H7" s="143" t="n"/>
      <c r="I7" s="143" t="n"/>
      <c r="J7" s="143" t="n"/>
      <c r="K7" s="143" t="n"/>
      <c r="L7" s="144" t="n"/>
      <c r="M7" s="55" t="n"/>
      <c r="N7" s="55" t="n"/>
    </row>
    <row r="8" ht="34.05" customHeight="1" s="128">
      <c r="B8" s="52" t="inlineStr">
        <is>
          <t>Documente disponibile (fisa tehnica, desen, poze, declaratii)</t>
        </is>
      </c>
      <c r="C8" s="145" t="n"/>
      <c r="D8" s="143" t="n"/>
      <c r="E8" s="143" t="n"/>
      <c r="F8" s="143" t="n"/>
      <c r="G8" s="143" t="n"/>
      <c r="H8" s="143" t="n"/>
      <c r="I8" s="143" t="n"/>
      <c r="J8" s="143" t="n"/>
      <c r="K8" s="143" t="n"/>
      <c r="L8" s="144" t="n"/>
      <c r="M8" s="55" t="n"/>
      <c r="N8" s="55" t="n"/>
    </row>
    <row r="9" ht="19.5" customHeight="1" s="128">
      <c r="B9" s="35" t="inlineStr">
        <is>
          <t>2. Produse / SKU-uri care folosesc aceasta unitate</t>
        </is>
      </c>
      <c r="C9" s="35" t="n"/>
      <c r="D9" s="35" t="n"/>
      <c r="E9" s="36" t="n"/>
      <c r="F9" s="36" t="n"/>
      <c r="G9" s="36" t="n"/>
      <c r="H9" s="36" t="n"/>
      <c r="I9" s="36" t="n"/>
      <c r="J9" s="36" t="n"/>
      <c r="K9" s="36" t="n"/>
      <c r="L9" s="36" t="n"/>
      <c r="M9" s="51" t="n"/>
      <c r="N9" s="51" t="n"/>
    </row>
    <row r="10" ht="30" customHeight="1" s="128">
      <c r="B10" s="3" t="inlineStr">
        <is>
          <t>Denumire produs / SKU</t>
        </is>
      </c>
      <c r="C10" s="102" t="inlineStr">
        <is>
          <t>Volum anual estimat (buc/an)</t>
        </is>
      </c>
      <c r="D10" s="102" t="inlineStr">
        <is>
          <t>Frecventa comenzilor</t>
        </is>
      </c>
      <c r="E10" s="102" t="inlineStr">
        <is>
          <t>Observatii</t>
        </is>
      </c>
      <c r="F10" s="146" t="n"/>
      <c r="G10" s="146" t="n"/>
      <c r="H10" s="146" t="n"/>
      <c r="I10" s="146" t="n"/>
      <c r="J10" s="146" t="n"/>
      <c r="K10" s="146" t="n"/>
      <c r="L10" s="146" t="n"/>
      <c r="M10" s="50" t="n"/>
      <c r="N10" s="50" t="n"/>
    </row>
    <row r="11" ht="30" customHeight="1" s="128">
      <c r="B11" s="42" t="n"/>
      <c r="C11" s="67" t="n"/>
      <c r="D11" s="53" t="n"/>
      <c r="E11" s="104" t="n"/>
      <c r="F11" s="143" t="n"/>
      <c r="G11" s="143" t="n"/>
      <c r="H11" s="143" t="n"/>
      <c r="I11" s="143" t="n"/>
      <c r="J11" s="143" t="n"/>
      <c r="K11" s="143" t="n"/>
      <c r="L11" s="143" t="n"/>
      <c r="M11" s="55" t="n"/>
      <c r="N11" s="55" t="n"/>
    </row>
    <row r="12" ht="30" customHeight="1" s="128">
      <c r="B12" s="42" t="n"/>
      <c r="C12" s="67" t="n"/>
      <c r="D12" s="53" t="n"/>
      <c r="E12" s="104" t="n"/>
      <c r="F12" s="143" t="n"/>
      <c r="G12" s="143" t="n"/>
      <c r="H12" s="143" t="n"/>
      <c r="I12" s="143" t="n"/>
      <c r="J12" s="143" t="n"/>
      <c r="K12" s="143" t="n"/>
      <c r="L12" s="143" t="n"/>
      <c r="M12" s="55" t="n"/>
      <c r="N12" s="55" t="n"/>
    </row>
    <row r="13" ht="30" customHeight="1" s="128">
      <c r="B13" s="42" t="n"/>
      <c r="C13" s="67" t="n"/>
      <c r="D13" s="53" t="n"/>
      <c r="E13" s="104" t="n"/>
      <c r="F13" s="143" t="n"/>
      <c r="G13" s="143" t="n"/>
      <c r="H13" s="143" t="n"/>
      <c r="I13" s="143" t="n"/>
      <c r="J13" s="143" t="n"/>
      <c r="K13" s="143" t="n"/>
      <c r="L13" s="143" t="n"/>
      <c r="M13" s="55" t="n"/>
      <c r="N13" s="55" t="n"/>
    </row>
    <row r="14" ht="30" customHeight="1" s="128">
      <c r="B14" s="64" t="n"/>
      <c r="C14" s="68" t="n"/>
      <c r="D14" s="53" t="n"/>
      <c r="E14" s="104" t="n"/>
      <c r="F14" s="143" t="n"/>
      <c r="G14" s="143" t="n"/>
      <c r="H14" s="143" t="n"/>
      <c r="I14" s="143" t="n"/>
      <c r="J14" s="143" t="n"/>
      <c r="K14" s="143" t="n"/>
      <c r="L14" s="143" t="n"/>
      <c r="M14" s="55" t="n"/>
      <c r="N14" s="55" t="n"/>
    </row>
    <row r="15" ht="24" customHeight="1" s="128">
      <c r="B15" s="65" t="inlineStr">
        <is>
          <t>TOTAL volum anual unitate (automat)</t>
        </is>
      </c>
      <c r="C15" s="66">
        <f>SUM(C11:C14)</f>
        <v/>
      </c>
    </row>
    <row r="16" ht="19.5" customHeight="1" s="128">
      <c r="B16" s="35" t="inlineStr">
        <is>
          <t>3. Componentele unitatii de ambalaj</t>
        </is>
      </c>
      <c r="C16" s="35" t="n"/>
      <c r="D16" s="35" t="n"/>
      <c r="E16" s="35" t="n"/>
      <c r="F16" s="35" t="n"/>
      <c r="G16" s="35" t="n"/>
      <c r="H16" s="35" t="n"/>
      <c r="I16" s="35" t="n"/>
      <c r="J16" s="35" t="n"/>
      <c r="K16" s="35" t="n"/>
      <c r="L16" s="35" t="n"/>
      <c r="M16" s="63" t="n"/>
      <c r="N16" s="63" t="n"/>
    </row>
    <row r="17" ht="49.95" customHeight="1" s="128">
      <c r="B17" s="3" t="inlineStr">
        <is>
          <t>Denumire componenta</t>
        </is>
      </c>
      <c r="C17" s="3" t="inlineStr">
        <is>
          <t>Material</t>
        </is>
      </c>
      <c r="D17" s="3" t="inlineStr">
        <is>
          <t>Culoare</t>
        </is>
      </c>
      <c r="E17" s="3" t="inlineStr">
        <is>
          <t>Greutate (g)</t>
        </is>
      </c>
      <c r="F17" s="3" t="inlineStr">
        <is>
          <t>% reciclabil (0-100%)</t>
        </is>
      </c>
      <c r="G17" s="3" t="inlineStr">
        <is>
          <t>Masa reciclabila (g)</t>
        </is>
      </c>
      <c r="H17" s="3" t="inlineStr">
        <is>
          <t>% continut reciclat (PCR)</t>
        </is>
      </c>
      <c r="I17" s="3" t="inlineStr">
        <is>
          <t>Furnizor</t>
        </is>
      </c>
      <c r="J17" s="3" t="inlineStr">
        <is>
          <t>Tara origine</t>
        </is>
      </c>
      <c r="K17" s="3" t="inlineStr">
        <is>
          <t>Pret unitar (EUR / 1000 buc)</t>
        </is>
      </c>
      <c r="L17" s="102" t="inlineStr">
        <is>
          <t>Observatii / risc</t>
        </is>
      </c>
    </row>
    <row r="18" ht="18" customHeight="1" s="128">
      <c r="B18" s="43" t="n"/>
      <c r="C18" s="44" t="n"/>
      <c r="D18" s="44" t="n"/>
      <c r="E18" s="44" t="n"/>
      <c r="F18" s="45" t="n"/>
      <c r="G18" s="147">
        <f>IF(OR(E18="",F18=""),"",E18*F18)</f>
        <v/>
      </c>
      <c r="H18" s="45" t="n"/>
      <c r="I18" s="44" t="n"/>
      <c r="J18" s="44" t="n"/>
      <c r="K18" s="69" t="n"/>
      <c r="L18" s="59" t="n"/>
    </row>
    <row r="19" ht="18" customHeight="1" s="128">
      <c r="B19" s="43" t="n"/>
      <c r="C19" s="44" t="n"/>
      <c r="D19" s="44" t="n"/>
      <c r="E19" s="44" t="n"/>
      <c r="F19" s="45" t="n"/>
      <c r="G19" s="147">
        <f>IF(OR(E19="",F19=""),"",E19*F19)</f>
        <v/>
      </c>
      <c r="H19" s="45" t="n"/>
      <c r="I19" s="44" t="n"/>
      <c r="J19" s="44" t="n"/>
      <c r="K19" s="69" t="n"/>
      <c r="L19" s="59" t="n"/>
    </row>
    <row r="20" ht="18" customHeight="1" s="128">
      <c r="B20" s="43" t="n"/>
      <c r="C20" s="44" t="n"/>
      <c r="D20" s="44" t="n"/>
      <c r="E20" s="44" t="n"/>
      <c r="F20" s="45" t="n"/>
      <c r="G20" s="147">
        <f>IF(OR(E20="",F20=""),"",E20*F20)</f>
        <v/>
      </c>
      <c r="H20" s="45" t="n"/>
      <c r="I20" s="44" t="n"/>
      <c r="J20" s="44" t="n"/>
      <c r="K20" s="69" t="n"/>
      <c r="L20" s="59" t="n"/>
    </row>
    <row r="21" ht="18" customHeight="1" s="128">
      <c r="B21" s="43" t="n"/>
      <c r="C21" s="44" t="n"/>
      <c r="D21" s="44" t="n"/>
      <c r="E21" s="44" t="n"/>
      <c r="F21" s="45" t="n"/>
      <c r="G21" s="147">
        <f>IF(OR(E21="",F21=""),"",E21*F21)</f>
        <v/>
      </c>
      <c r="H21" s="45" t="n"/>
      <c r="I21" s="44" t="n"/>
      <c r="J21" s="44" t="n"/>
      <c r="K21" s="69" t="n"/>
      <c r="L21" s="59" t="n"/>
    </row>
    <row r="22" ht="18" customHeight="1" s="128">
      <c r="B22" s="43" t="n"/>
      <c r="C22" s="44" t="n"/>
      <c r="D22" s="44" t="n"/>
      <c r="E22" s="44" t="n"/>
      <c r="F22" s="45" t="n"/>
      <c r="G22" s="147">
        <f>IF(OR(E22="",F22=""),"",E22*F22)</f>
        <v/>
      </c>
      <c r="H22" s="45" t="n"/>
      <c r="I22" s="44" t="n"/>
      <c r="J22" s="44" t="n"/>
      <c r="K22" s="69" t="n"/>
      <c r="L22" s="59" t="n"/>
    </row>
    <row r="23" ht="18" customHeight="1" s="128">
      <c r="B23" s="43" t="n"/>
      <c r="C23" s="44" t="n"/>
      <c r="D23" s="44" t="n"/>
      <c r="E23" s="44" t="n"/>
      <c r="F23" s="45" t="n"/>
      <c r="G23" s="147">
        <f>IF(OR(E23="",F23=""),"",E23*F23)</f>
        <v/>
      </c>
      <c r="H23" s="45" t="n"/>
      <c r="I23" s="44" t="n"/>
      <c r="J23" s="44" t="n"/>
      <c r="K23" s="69" t="n"/>
      <c r="L23" s="59" t="n"/>
    </row>
    <row r="24" ht="18" customHeight="1" s="128">
      <c r="B24" s="43" t="n"/>
      <c r="C24" s="44" t="n"/>
      <c r="D24" s="44" t="n"/>
      <c r="E24" s="44" t="n"/>
      <c r="F24" s="45" t="n"/>
      <c r="G24" s="147">
        <f>IF(OR(E24="",F24=""),"",E24*F24)</f>
        <v/>
      </c>
      <c r="H24" s="45" t="n"/>
      <c r="I24" s="44" t="n"/>
      <c r="J24" s="44" t="n"/>
      <c r="K24" s="69" t="n"/>
      <c r="L24" s="59" t="n"/>
    </row>
    <row r="25" ht="18" customHeight="1" s="128">
      <c r="B25" s="43" t="n"/>
      <c r="C25" s="44" t="n"/>
      <c r="D25" s="44" t="n"/>
      <c r="E25" s="44" t="n"/>
      <c r="F25" s="45" t="n"/>
      <c r="G25" s="147">
        <f>IF(OR(E25="",F25=""),"",E25*F25)</f>
        <v/>
      </c>
      <c r="H25" s="45" t="n"/>
      <c r="I25" s="44" t="n"/>
      <c r="J25" s="44" t="n"/>
      <c r="K25" s="69" t="n"/>
      <c r="L25" s="59" t="n"/>
    </row>
    <row r="26" ht="19.5" customHeight="1" s="128">
      <c r="B26" s="116" t="inlineStr">
        <is>
          <t>TOTAL unitate (greutate si masa reciclabila)</t>
        </is>
      </c>
      <c r="C26" s="146" t="n"/>
      <c r="D26" s="131" t="n"/>
      <c r="E26" s="148">
        <f>SUM(E18:E25)</f>
        <v/>
      </c>
      <c r="F26" s="40" t="n"/>
      <c r="G26" s="148">
        <f>SUM(G18:G25)</f>
        <v/>
      </c>
      <c r="H26" s="40" t="n"/>
      <c r="I26" s="40" t="n"/>
      <c r="J26" s="40" t="n"/>
      <c r="K26" s="40" t="n"/>
      <c r="L26" s="60" t="n"/>
      <c r="M26" s="61" t="n"/>
      <c r="N26" s="61" t="n"/>
    </row>
    <row r="27" ht="19.5" customHeight="1" s="128">
      <c r="B27" s="116" t="inlineStr">
        <is>
          <t>% reciclabil ponderat pe greutate (automat)</t>
        </is>
      </c>
      <c r="C27" s="146" t="n"/>
      <c r="D27" s="131" t="n"/>
      <c r="E27" s="149">
        <f>IFERROR(G26/E26,"-")</f>
        <v/>
      </c>
    </row>
    <row r="28" ht="30" customHeight="1" s="128">
      <c r="B28" s="116" t="inlineStr">
        <is>
          <t>Clasa de reciclabilitate calculata (A ≥95% / B ≥80% / C ≥70%)</t>
        </is>
      </c>
      <c r="C28" s="146" t="n"/>
      <c r="D28" s="131" t="n"/>
      <c r="E28" s="150">
        <f>IF(NOT(ISNUMBER(E27)),"-",IF(E27&gt;=0.95,"A",IF(E27&gt;=0.8,"B",IF(E27&gt;=0.7,"C","Sub 70% - nereciclabil"))))</f>
        <v/>
      </c>
      <c r="F28" s="146" t="n"/>
      <c r="G28" s="131" t="n"/>
    </row>
    <row r="29" ht="34.05" customHeight="1" s="128">
      <c r="B29" s="151" t="inlineStr">
        <is>
          <t>Cost total componente (EUR / 1000 buc) - suma preturilor completate (automat)</t>
        </is>
      </c>
      <c r="C29" s="146" t="n"/>
      <c r="D29" s="131" t="n"/>
      <c r="E29" s="152">
        <f>SUM(K18:K25)</f>
        <v/>
      </c>
      <c r="F29" s="146" t="n"/>
      <c r="G29" s="131" t="n"/>
      <c r="H29" s="70" t="n"/>
      <c r="I29" s="70" t="n"/>
      <c r="J29" s="70" t="n"/>
      <c r="K29" s="70" t="n"/>
      <c r="L29" s="70" t="n"/>
    </row>
    <row r="30" ht="34.05" customHeight="1" s="128">
      <c r="B30" s="151" t="inlineStr">
        <is>
          <t>Material total pus pe piata (kg/an) = greutate x volum anual (automat)</t>
        </is>
      </c>
      <c r="C30" s="146" t="n"/>
      <c r="D30" s="131" t="n"/>
      <c r="E30" s="153">
        <f>IF(OR(N(C15)=0,N(E26)=0),"-",E26*C15/1000)</f>
        <v/>
      </c>
      <c r="F30" s="146" t="n"/>
      <c r="G30" s="131" t="n"/>
      <c r="H30" s="70" t="n"/>
      <c r="I30" s="70" t="n"/>
      <c r="J30" s="70" t="n"/>
      <c r="K30" s="70" t="n"/>
      <c r="L30" s="70" t="n"/>
    </row>
    <row r="32" ht="19.5" customHeight="1" s="128">
      <c r="B32" s="35" t="inlineStr">
        <is>
          <t>4. Cerintele produsului/produselor ambalate</t>
        </is>
      </c>
      <c r="C32" s="35" t="n"/>
      <c r="D32" s="35" t="n"/>
      <c r="E32" s="36" t="n"/>
      <c r="F32" s="36" t="n"/>
      <c r="G32" s="36" t="n"/>
      <c r="H32" s="36" t="n"/>
      <c r="I32" s="36" t="n"/>
      <c r="J32" s="36" t="n"/>
      <c r="K32" s="36" t="n"/>
      <c r="L32" s="36" t="n"/>
      <c r="M32" s="51" t="n"/>
      <c r="N32" s="51" t="n"/>
    </row>
    <row r="33" ht="30" customHeight="1" s="128">
      <c r="B33" s="112" t="inlineStr">
        <is>
          <t>Daca SKU-urile din sectiunea 2 au cerinte diferite, noteaza diferentele in coloana 'Observatii' din tabelul SKU-urilor.</t>
        </is>
      </c>
      <c r="C33" s="154" t="n"/>
      <c r="D33" s="154" t="n"/>
      <c r="E33" s="154" t="n"/>
      <c r="F33" s="154" t="n"/>
      <c r="G33" s="154" t="n"/>
      <c r="H33" s="154" t="n"/>
      <c r="I33" s="154" t="n"/>
      <c r="J33" s="154" t="n"/>
      <c r="K33" s="154" t="n"/>
      <c r="L33" s="154" t="n"/>
      <c r="M33" s="82" t="n"/>
      <c r="N33" s="82" t="n"/>
    </row>
    <row r="34" ht="31.95" customHeight="1" s="128">
      <c r="B34" s="52" t="inlineStr">
        <is>
          <t>Tip produs (lichid / crema-gel / pudra / solid / altul)</t>
        </is>
      </c>
      <c r="C34" s="139" t="n"/>
      <c r="D34" s="140" t="n"/>
      <c r="E34" s="140" t="n"/>
      <c r="F34" s="140" t="n"/>
      <c r="G34" s="140" t="n"/>
      <c r="H34" s="140" t="n"/>
      <c r="I34" s="140" t="n"/>
      <c r="J34" s="140" t="n"/>
      <c r="K34" s="140" t="n"/>
      <c r="L34" s="141" t="n"/>
      <c r="M34" s="55" t="n"/>
      <c r="N34" s="55" t="n"/>
    </row>
    <row r="35" ht="46.95" customHeight="1" s="128">
      <c r="B35" s="52" t="inlineStr">
        <is>
          <t>Categorie reglementata a produsului (alimentar / farma / cosmetic / supliment / altul)</t>
        </is>
      </c>
      <c r="C35" s="145" t="n"/>
      <c r="D35" s="143" t="n"/>
      <c r="E35" s="143" t="n"/>
      <c r="F35" s="143" t="n"/>
      <c r="G35" s="143" t="n"/>
      <c r="H35" s="143" t="n"/>
      <c r="I35" s="143" t="n"/>
      <c r="J35" s="143" t="n"/>
      <c r="K35" s="143" t="n"/>
      <c r="L35" s="144" t="n"/>
      <c r="M35" s="55" t="n"/>
      <c r="N35" s="55" t="n"/>
    </row>
    <row r="36" ht="46.95" customHeight="1" s="128">
      <c r="B36" s="52" t="inlineStr">
        <is>
          <t>Functii cerute ambalajului (pompa, picurator, spray, flip-top, sigiliu, protectie copii)</t>
        </is>
      </c>
      <c r="C36" s="145" t="n"/>
      <c r="D36" s="143" t="n"/>
      <c r="E36" s="143" t="n"/>
      <c r="F36" s="143" t="n"/>
      <c r="G36" s="143" t="n"/>
      <c r="H36" s="143" t="n"/>
      <c r="I36" s="143" t="n"/>
      <c r="J36" s="143" t="n"/>
      <c r="K36" s="143" t="n"/>
      <c r="L36" s="144" t="n"/>
      <c r="M36" s="55" t="n"/>
      <c r="N36" s="55" t="n"/>
    </row>
    <row r="37" ht="30" customHeight="1" s="128">
      <c r="B37" s="52" t="inlineStr">
        <is>
          <t>Sensibilitate la oxigen</t>
        </is>
      </c>
      <c r="C37" s="139" t="n"/>
      <c r="D37" s="140" t="n"/>
      <c r="E37" s="140" t="n"/>
      <c r="F37" s="140" t="n"/>
      <c r="G37" s="140" t="n"/>
      <c r="H37" s="140" t="n"/>
      <c r="I37" s="140" t="n"/>
      <c r="J37" s="140" t="n"/>
      <c r="K37" s="140" t="n"/>
      <c r="L37" s="141" t="n"/>
      <c r="M37" s="55" t="n"/>
      <c r="N37" s="55" t="n"/>
    </row>
    <row r="38" ht="30" customHeight="1" s="128">
      <c r="B38" s="52" t="inlineStr">
        <is>
          <t>Sensibilitate la lumina / UV</t>
        </is>
      </c>
      <c r="C38" s="139" t="n"/>
      <c r="D38" s="140" t="n"/>
      <c r="E38" s="140" t="n"/>
      <c r="F38" s="140" t="n"/>
      <c r="G38" s="140" t="n"/>
      <c r="H38" s="140" t="n"/>
      <c r="I38" s="140" t="n"/>
      <c r="J38" s="140" t="n"/>
      <c r="K38" s="140" t="n"/>
      <c r="L38" s="141" t="n"/>
      <c r="M38" s="55" t="n"/>
      <c r="N38" s="55" t="n"/>
    </row>
    <row r="39" ht="30" customHeight="1" s="128">
      <c r="B39" s="52" t="inlineStr">
        <is>
          <t>Sensibilitate la umiditate</t>
        </is>
      </c>
      <c r="C39" s="139" t="n"/>
      <c r="D39" s="140" t="n"/>
      <c r="E39" s="140" t="n"/>
      <c r="F39" s="140" t="n"/>
      <c r="G39" s="140" t="n"/>
      <c r="H39" s="140" t="n"/>
      <c r="I39" s="140" t="n"/>
      <c r="J39" s="140" t="n"/>
      <c r="K39" s="140" t="n"/>
      <c r="L39" s="141" t="n"/>
      <c r="M39" s="55" t="n"/>
      <c r="N39" s="55" t="n"/>
    </row>
    <row r="40" ht="31.95" customHeight="1" s="128">
      <c r="B40" s="52" t="inlineStr">
        <is>
          <t>Compatibilitate chimica necesara (grasimi, alcool, acizi, uleiuri)</t>
        </is>
      </c>
      <c r="C40" s="139" t="n"/>
      <c r="D40" s="140" t="n"/>
      <c r="E40" s="140" t="n"/>
      <c r="F40" s="140" t="n"/>
      <c r="G40" s="140" t="n"/>
      <c r="H40" s="140" t="n"/>
      <c r="I40" s="140" t="n"/>
      <c r="J40" s="140" t="n"/>
      <c r="K40" s="140" t="n"/>
      <c r="L40" s="141" t="n"/>
      <c r="M40" s="55" t="n"/>
      <c r="N40" s="55" t="n"/>
    </row>
    <row r="41" ht="30" customHeight="1" s="128">
      <c r="B41" s="52" t="inlineStr">
        <is>
          <t>Temperatura de umplere</t>
        </is>
      </c>
      <c r="C41" s="139" t="n"/>
      <c r="D41" s="140" t="n"/>
      <c r="E41" s="140" t="n"/>
      <c r="F41" s="140" t="n"/>
      <c r="G41" s="140" t="n"/>
      <c r="H41" s="140" t="n"/>
      <c r="I41" s="140" t="n"/>
      <c r="J41" s="140" t="n"/>
      <c r="K41" s="140" t="n"/>
      <c r="L41" s="141" t="n"/>
      <c r="M41" s="55" t="n"/>
      <c r="N41" s="55" t="n"/>
    </row>
    <row r="42" ht="30" customHeight="1" s="128">
      <c r="B42" s="52" t="inlineStr">
        <is>
          <t>Temperatura / conditii de depozitare</t>
        </is>
      </c>
      <c r="C42" s="139" t="n"/>
      <c r="D42" s="140" t="n"/>
      <c r="E42" s="140" t="n"/>
      <c r="F42" s="140" t="n"/>
      <c r="G42" s="140" t="n"/>
      <c r="H42" s="140" t="n"/>
      <c r="I42" s="140" t="n"/>
      <c r="J42" s="140" t="n"/>
      <c r="K42" s="140" t="n"/>
      <c r="L42" s="141" t="n"/>
      <c r="M42" s="55" t="n"/>
      <c r="N42" s="55" t="n"/>
    </row>
    <row r="43" ht="30" customHeight="1" s="128">
      <c r="B43" s="52" t="inlineStr">
        <is>
          <t>Valabilitate / shelf-life dorita</t>
        </is>
      </c>
      <c r="C43" s="142" t="n"/>
      <c r="D43" s="143" t="n"/>
      <c r="E43" s="143" t="n"/>
      <c r="F43" s="143" t="n"/>
      <c r="G43" s="143" t="n"/>
      <c r="H43" s="143" t="n"/>
      <c r="I43" s="143" t="n"/>
      <c r="J43" s="143" t="n"/>
      <c r="K43" s="143" t="n"/>
      <c r="L43" s="144" t="n"/>
      <c r="M43" s="55" t="n"/>
      <c r="N43" s="55" t="n"/>
    </row>
    <row r="45" ht="19.5" customHeight="1" s="128">
      <c r="B45" s="35" t="inlineStr">
        <is>
          <t>5. Procesul de ambalare si utilajele clientului</t>
        </is>
      </c>
      <c r="C45" s="35" t="n"/>
      <c r="D45" s="35" t="n"/>
      <c r="E45" s="36" t="n"/>
      <c r="F45" s="36" t="n"/>
      <c r="G45" s="36" t="n"/>
      <c r="H45" s="36" t="n"/>
      <c r="I45" s="36" t="n"/>
      <c r="J45" s="36" t="n"/>
      <c r="K45" s="36" t="n"/>
      <c r="L45" s="36" t="n"/>
      <c r="M45" s="51" t="n"/>
      <c r="N45" s="51" t="n"/>
    </row>
    <row r="46" ht="31.95" customHeight="1" s="128">
      <c r="B46" s="52" t="inlineStr">
        <is>
          <t>Tip linie de ambalare (automata / semi-automata / manuala)</t>
        </is>
      </c>
      <c r="C46" s="139" t="n"/>
      <c r="D46" s="140" t="n"/>
      <c r="E46" s="140" t="n"/>
      <c r="F46" s="140" t="n"/>
      <c r="G46" s="140" t="n"/>
      <c r="H46" s="140" t="n"/>
      <c r="I46" s="140" t="n"/>
      <c r="J46" s="140" t="n"/>
      <c r="K46" s="140" t="n"/>
      <c r="L46" s="141" t="n"/>
      <c r="M46" s="55" t="n"/>
      <c r="N46" s="55" t="n"/>
    </row>
    <row r="47" ht="30" customHeight="1" s="128">
      <c r="B47" s="52" t="inlineStr">
        <is>
          <t>Viteza linie (buc/min)</t>
        </is>
      </c>
      <c r="C47" s="139" t="n"/>
      <c r="D47" s="140" t="n"/>
      <c r="E47" s="140" t="n"/>
      <c r="F47" s="140" t="n"/>
      <c r="G47" s="140" t="n"/>
      <c r="H47" s="140" t="n"/>
      <c r="I47" s="140" t="n"/>
      <c r="J47" s="140" t="n"/>
      <c r="K47" s="140" t="n"/>
      <c r="L47" s="141" t="n"/>
      <c r="M47" s="55" t="n"/>
      <c r="N47" s="55" t="n"/>
    </row>
    <row r="48" ht="31.95" customHeight="1" s="128">
      <c r="B48" s="52" t="inlineStr">
        <is>
          <t>Tip umplere (volumetrica, la rece/cald, aseptica)</t>
        </is>
      </c>
      <c r="C48" s="139" t="n"/>
      <c r="D48" s="140" t="n"/>
      <c r="E48" s="140" t="n"/>
      <c r="F48" s="140" t="n"/>
      <c r="G48" s="140" t="n"/>
      <c r="H48" s="140" t="n"/>
      <c r="I48" s="140" t="n"/>
      <c r="J48" s="140" t="n"/>
      <c r="K48" s="140" t="n"/>
      <c r="L48" s="141" t="n"/>
      <c r="M48" s="55" t="n"/>
      <c r="N48" s="55" t="n"/>
    </row>
    <row r="49" ht="31.95" customHeight="1" s="128">
      <c r="B49" s="52" t="inlineStr">
        <is>
          <t>Tip inchidere folosit pe linie (infoliere, capsare, presare, inductie)</t>
        </is>
      </c>
      <c r="C49" s="139" t="n"/>
      <c r="D49" s="140" t="n"/>
      <c r="E49" s="140" t="n"/>
      <c r="F49" s="140" t="n"/>
      <c r="G49" s="140" t="n"/>
      <c r="H49" s="140" t="n"/>
      <c r="I49" s="140" t="n"/>
      <c r="J49" s="140" t="n"/>
      <c r="K49" s="140" t="n"/>
      <c r="L49" s="141" t="n"/>
      <c r="M49" s="55" t="n"/>
      <c r="N49" s="55" t="n"/>
    </row>
    <row r="50" ht="31.95" customHeight="1" s="128">
      <c r="B50" s="52" t="inlineStr">
        <is>
          <t>Cod gat / finisaj compatibil cu echipamentul existent</t>
        </is>
      </c>
      <c r="C50" s="139" t="n"/>
      <c r="D50" s="140" t="n"/>
      <c r="E50" s="140" t="n"/>
      <c r="F50" s="140" t="n"/>
      <c r="G50" s="140" t="n"/>
      <c r="H50" s="140" t="n"/>
      <c r="I50" s="140" t="n"/>
      <c r="J50" s="140" t="n"/>
      <c r="K50" s="140" t="n"/>
      <c r="L50" s="141" t="n"/>
      <c r="M50" s="55" t="n"/>
      <c r="N50" s="55" t="n"/>
    </row>
    <row r="51" ht="31.95" customHeight="1" s="128">
      <c r="B51" s="52" t="inlineStr">
        <is>
          <t>Tip etichetare folosit (aplicator rece/cald, sleeve, manual)</t>
        </is>
      </c>
      <c r="C51" s="139" t="n"/>
      <c r="D51" s="140" t="n"/>
      <c r="E51" s="140" t="n"/>
      <c r="F51" s="140" t="n"/>
      <c r="G51" s="140" t="n"/>
      <c r="H51" s="140" t="n"/>
      <c r="I51" s="140" t="n"/>
      <c r="J51" s="140" t="n"/>
      <c r="K51" s="140" t="n"/>
      <c r="L51" s="141" t="n"/>
      <c r="M51" s="55" t="n"/>
      <c r="N51" s="55" t="n"/>
    </row>
    <row r="52" ht="30" customHeight="1" s="128">
      <c r="B52" s="52" t="inlineStr">
        <is>
          <t>Ambalaj secundar / paletizare</t>
        </is>
      </c>
      <c r="C52" s="139" t="n"/>
      <c r="D52" s="140" t="n"/>
      <c r="E52" s="140" t="n"/>
      <c r="F52" s="140" t="n"/>
      <c r="G52" s="140" t="n"/>
      <c r="H52" s="140" t="n"/>
      <c r="I52" s="140" t="n"/>
      <c r="J52" s="140" t="n"/>
      <c r="K52" s="140" t="n"/>
      <c r="L52" s="141" t="n"/>
      <c r="M52" s="55" t="n"/>
      <c r="N52" s="55" t="n"/>
    </row>
    <row r="53" ht="31.95" customHeight="1" s="128">
      <c r="B53" s="52" t="inlineStr">
        <is>
          <t>Limitari cunoscute ale liniei (greutate maxima, diametru, inaltime)</t>
        </is>
      </c>
      <c r="C53" s="142" t="n"/>
      <c r="D53" s="143" t="n"/>
      <c r="E53" s="143" t="n"/>
      <c r="F53" s="143" t="n"/>
      <c r="G53" s="143" t="n"/>
      <c r="H53" s="143" t="n"/>
      <c r="I53" s="143" t="n"/>
      <c r="J53" s="143" t="n"/>
      <c r="K53" s="143" t="n"/>
      <c r="L53" s="144" t="n"/>
      <c r="M53" s="55" t="n"/>
      <c r="N53" s="55" t="n"/>
    </row>
    <row r="55" ht="19.5" customHeight="1" s="128">
      <c r="B55" s="35" t="inlineStr">
        <is>
          <t>6. Analiza de risc si conformitate PPWR — completata de MIRALEDO, impreuna cu clientul</t>
        </is>
      </c>
      <c r="C55" s="35" t="n"/>
      <c r="D55" s="35" t="n"/>
      <c r="E55" s="36" t="n"/>
      <c r="F55" s="36" t="n"/>
      <c r="G55" s="36" t="n"/>
      <c r="H55" s="36" t="n"/>
      <c r="I55" s="36" t="n"/>
      <c r="J55" s="36" t="n"/>
      <c r="K55" s="36" t="n"/>
      <c r="L55" s="36" t="n"/>
      <c r="M55" s="51" t="n"/>
      <c r="N55" s="51" t="n"/>
    </row>
    <row r="56" ht="30" customHeight="1" s="128">
      <c r="B56" s="112" t="inlineStr">
        <is>
          <t>Evaluare comerciala interna MIRALEDO a ambalajului ACTUAL. Nu reprezinta o certificare oficiala PPWR (nu exista asa ceva) - clasa de la sectiunea 3 e calculata din datele introduse pentru fiecare componenta.</t>
        </is>
      </c>
      <c r="C56" s="154" t="n"/>
      <c r="D56" s="154" t="n"/>
      <c r="E56" s="154" t="n"/>
      <c r="F56" s="154" t="n"/>
      <c r="G56" s="154" t="n"/>
      <c r="H56" s="154" t="n"/>
      <c r="I56" s="154" t="n"/>
      <c r="J56" s="154" t="n"/>
      <c r="K56" s="154" t="n"/>
      <c r="L56" s="154" t="n"/>
      <c r="M56" s="82" t="n"/>
      <c r="N56" s="82" t="n"/>
    </row>
    <row r="57" ht="31.95" customHeight="1" s="128">
      <c r="B57" s="52" t="inlineStr">
        <is>
          <t>Testare substante restrictionate (PFAS etc.) efectuata?</t>
        </is>
      </c>
      <c r="C57" s="139" t="n"/>
      <c r="D57" s="140" t="n"/>
      <c r="E57" s="140" t="n"/>
      <c r="F57" s="140" t="n"/>
      <c r="G57" s="140" t="n"/>
      <c r="H57" s="140" t="n"/>
      <c r="I57" s="140" t="n"/>
      <c r="J57" s="140" t="n"/>
      <c r="K57" s="140" t="n"/>
      <c r="L57" s="141" t="n"/>
      <c r="M57" s="55" t="n"/>
      <c r="N57" s="55" t="n"/>
    </row>
    <row r="58" ht="45" customHeight="1" s="128">
      <c r="B58" s="52" t="inlineStr">
        <is>
          <t>Documentatie de conformitate disponibila (documentatie tehnica - Anexa VII; declaratie UE - Anexa VIII)</t>
        </is>
      </c>
      <c r="C58" s="139" t="n"/>
      <c r="D58" s="140" t="n"/>
      <c r="E58" s="140" t="n"/>
      <c r="F58" s="140" t="n"/>
      <c r="G58" s="140" t="n"/>
      <c r="H58" s="140" t="n"/>
      <c r="I58" s="140" t="n"/>
      <c r="J58" s="140" t="n"/>
      <c r="K58" s="140" t="n"/>
      <c r="L58" s="141" t="n"/>
      <c r="M58" s="55" t="n"/>
      <c r="N58" s="55" t="n"/>
    </row>
    <row r="59" ht="31.95" customHeight="1" s="128">
      <c r="B59" s="52" t="inlineStr">
        <is>
          <t>Expunere la restrictii de format PPWR (Anexa V)</t>
        </is>
      </c>
      <c r="C59" s="139" t="n"/>
      <c r="D59" s="140" t="n"/>
      <c r="E59" s="140" t="n"/>
      <c r="F59" s="140" t="n"/>
      <c r="G59" s="140" t="n"/>
      <c r="H59" s="140" t="n"/>
      <c r="I59" s="140" t="n"/>
      <c r="J59" s="140" t="n"/>
      <c r="K59" s="140" t="n"/>
      <c r="L59" s="141" t="n"/>
      <c r="M59" s="55" t="n"/>
      <c r="N59" s="55" t="n"/>
    </row>
    <row r="60" ht="31.95" customHeight="1" s="128">
      <c r="B60" s="52" t="inlineStr">
        <is>
          <t>Aplicabilitate obligatii reutilizare / reumplere (2027-2030)</t>
        </is>
      </c>
      <c r="C60" s="139" t="n"/>
      <c r="D60" s="140" t="n"/>
      <c r="E60" s="140" t="n"/>
      <c r="F60" s="140" t="n"/>
      <c r="G60" s="140" t="n"/>
      <c r="H60" s="140" t="n"/>
      <c r="I60" s="140" t="n"/>
      <c r="J60" s="140" t="n"/>
      <c r="K60" s="140" t="n"/>
      <c r="L60" s="141" t="n"/>
      <c r="M60" s="55" t="n"/>
      <c r="N60" s="55" t="n"/>
    </row>
    <row r="61" ht="31.95" customHeight="1" s="128">
      <c r="B61" s="52" t="inlineStr">
        <is>
          <t>Nivel de risc PPWR (Ridicat / Mediu / Scazut)</t>
        </is>
      </c>
      <c r="C61" s="139" t="n"/>
      <c r="D61" s="140" t="n"/>
      <c r="E61" s="140" t="n"/>
      <c r="F61" s="140" t="n"/>
      <c r="G61" s="140" t="n"/>
      <c r="H61" s="140" t="n"/>
      <c r="I61" s="140" t="n"/>
      <c r="J61" s="140" t="n"/>
      <c r="K61" s="140" t="n"/>
      <c r="L61" s="141" t="n"/>
      <c r="M61" s="55" t="n"/>
      <c r="N61" s="55" t="n"/>
    </row>
    <row r="62" ht="30" customHeight="1" s="128">
      <c r="B62" s="52" t="inlineStr">
        <is>
          <t>Motivatie risc identificat</t>
        </is>
      </c>
      <c r="C62" s="139" t="n"/>
      <c r="D62" s="140" t="n"/>
      <c r="E62" s="140" t="n"/>
      <c r="F62" s="140" t="n"/>
      <c r="G62" s="140" t="n"/>
      <c r="H62" s="140" t="n"/>
      <c r="I62" s="140" t="n"/>
      <c r="J62" s="140" t="n"/>
      <c r="K62" s="140" t="n"/>
      <c r="L62" s="141" t="n"/>
      <c r="M62" s="55" t="n"/>
      <c r="N62" s="55" t="n"/>
    </row>
    <row r="63" ht="31.95" customHeight="1" s="128">
      <c r="B63" s="52" t="inlineStr">
        <is>
          <t>Oportunitati de imbunatatire propuse de MIRALEDO</t>
        </is>
      </c>
      <c r="C63" s="139" t="n"/>
      <c r="D63" s="140" t="n"/>
      <c r="E63" s="140" t="n"/>
      <c r="F63" s="140" t="n"/>
      <c r="G63" s="140" t="n"/>
      <c r="H63" s="140" t="n"/>
      <c r="I63" s="140" t="n"/>
      <c r="J63" s="140" t="n"/>
      <c r="K63" s="140" t="n"/>
      <c r="L63" s="141" t="n"/>
      <c r="M63" s="55" t="n"/>
      <c r="N63" s="55" t="n"/>
    </row>
    <row r="64" ht="31.95" customHeight="1" s="128">
      <c r="B64" s="52" t="inlineStr">
        <is>
          <t>Beneficiu estimat (cost EPR, conformitate, imagine)</t>
        </is>
      </c>
      <c r="C64" s="139" t="n"/>
      <c r="D64" s="140" t="n"/>
      <c r="E64" s="140" t="n"/>
      <c r="F64" s="140" t="n"/>
      <c r="G64" s="140" t="n"/>
      <c r="H64" s="140" t="n"/>
      <c r="I64" s="140" t="n"/>
      <c r="J64" s="140" t="n"/>
      <c r="K64" s="140" t="n"/>
      <c r="L64" s="141" t="n"/>
      <c r="M64" s="55" t="n"/>
      <c r="N64" s="55" t="n"/>
    </row>
    <row r="65" ht="30" customHeight="1" s="128">
      <c r="B65" s="52" t="inlineStr">
        <is>
          <t>Termen legal relevant / urgenta</t>
        </is>
      </c>
      <c r="C65" s="142" t="n"/>
      <c r="D65" s="143" t="n"/>
      <c r="E65" s="143" t="n"/>
      <c r="F65" s="143" t="n"/>
      <c r="G65" s="143" t="n"/>
      <c r="H65" s="143" t="n"/>
      <c r="I65" s="143" t="n"/>
      <c r="J65" s="143" t="n"/>
      <c r="K65" s="143" t="n"/>
      <c r="L65" s="144" t="n"/>
      <c r="M65" s="55" t="n"/>
      <c r="N65" s="55" t="n"/>
    </row>
    <row r="67" ht="19.5" customHeight="1" s="128">
      <c r="B67" s="35" t="inlineStr">
        <is>
          <t>7. Comercial si pasi urmatori — sectiune interna MIRALEDO</t>
        </is>
      </c>
      <c r="C67" s="35" t="n"/>
      <c r="D67" s="35" t="n"/>
      <c r="E67" s="36" t="n"/>
      <c r="F67" s="36" t="n"/>
      <c r="G67" s="36" t="n"/>
      <c r="H67" s="36" t="n"/>
      <c r="I67" s="36" t="n"/>
      <c r="J67" s="36" t="n"/>
      <c r="K67" s="36" t="n"/>
      <c r="L67" s="36" t="n"/>
      <c r="M67" s="51" t="n"/>
      <c r="N67" s="51" t="n"/>
    </row>
    <row r="68" ht="30" customHeight="1" s="128">
      <c r="B68" s="52" t="inlineStr">
        <is>
          <t>Pret tinta client (unitate completa, EUR / 1000 buc)</t>
        </is>
      </c>
      <c r="C68" s="139" t="n"/>
      <c r="D68" s="140" t="n"/>
      <c r="E68" s="140" t="n"/>
      <c r="F68" s="140" t="n"/>
      <c r="G68" s="140" t="n"/>
      <c r="H68" s="140" t="n"/>
      <c r="I68" s="140" t="n"/>
      <c r="J68" s="140" t="n"/>
      <c r="K68" s="140" t="n"/>
      <c r="L68" s="141" t="n"/>
      <c r="M68" s="55" t="n"/>
      <c r="N68" s="55" t="n"/>
    </row>
    <row r="69" ht="30" customHeight="1" s="128">
      <c r="B69" s="52" t="inlineStr">
        <is>
          <t>Conditii de livrare (Incoterms)</t>
        </is>
      </c>
      <c r="C69" s="139" t="n"/>
      <c r="D69" s="140" t="n"/>
      <c r="E69" s="140" t="n"/>
      <c r="F69" s="140" t="n"/>
      <c r="G69" s="140" t="n"/>
      <c r="H69" s="140" t="n"/>
      <c r="I69" s="140" t="n"/>
      <c r="J69" s="140" t="n"/>
      <c r="K69" s="140" t="n"/>
      <c r="L69" s="141" t="n"/>
      <c r="M69" s="55" t="n"/>
      <c r="N69" s="55" t="n"/>
    </row>
    <row r="70" ht="31.95" customHeight="1" s="128">
      <c r="B70" s="52" t="inlineStr">
        <is>
          <t>Problema / nevoie identificata la client</t>
        </is>
      </c>
      <c r="C70" s="139" t="n"/>
      <c r="D70" s="140" t="n"/>
      <c r="E70" s="140" t="n"/>
      <c r="F70" s="140" t="n"/>
      <c r="G70" s="140" t="n"/>
      <c r="H70" s="140" t="n"/>
      <c r="I70" s="140" t="n"/>
      <c r="J70" s="140" t="n"/>
      <c r="K70" s="140" t="n"/>
      <c r="L70" s="141" t="n"/>
      <c r="M70" s="55" t="n"/>
      <c r="N70" s="55" t="n"/>
    </row>
    <row r="71" ht="31.95" customHeight="1" s="128">
      <c r="B71" s="52" t="inlineStr">
        <is>
          <t>Stadiu pipeline (vezi Sales Pipeline CRM)</t>
        </is>
      </c>
      <c r="C71" s="139" t="n"/>
      <c r="D71" s="140" t="n"/>
      <c r="E71" s="140" t="n"/>
      <c r="F71" s="140" t="n"/>
      <c r="G71" s="140" t="n"/>
      <c r="H71" s="140" t="n"/>
      <c r="I71" s="140" t="n"/>
      <c r="J71" s="140" t="n"/>
      <c r="K71" s="140" t="n"/>
      <c r="L71" s="141" t="n"/>
      <c r="M71" s="55" t="n"/>
      <c r="N71" s="55" t="n"/>
    </row>
    <row r="72" ht="30" customHeight="1" s="128">
      <c r="B72" s="52" t="inlineStr">
        <is>
          <t>Urmatoarea actiune</t>
        </is>
      </c>
      <c r="C72" s="139" t="n"/>
      <c r="D72" s="140" t="n"/>
      <c r="E72" s="140" t="n"/>
      <c r="F72" s="140" t="n"/>
      <c r="G72" s="140" t="n"/>
      <c r="H72" s="140" t="n"/>
      <c r="I72" s="140" t="n"/>
      <c r="J72" s="140" t="n"/>
      <c r="K72" s="140" t="n"/>
      <c r="L72" s="141" t="n"/>
      <c r="M72" s="55" t="n"/>
      <c r="N72" s="55" t="n"/>
    </row>
    <row r="73" ht="30" customHeight="1" s="128">
      <c r="B73" s="52" t="inlineStr">
        <is>
          <t>Data urmatorului follow-up</t>
        </is>
      </c>
      <c r="C73" s="142" t="n"/>
      <c r="D73" s="143" t="n"/>
      <c r="E73" s="143" t="n"/>
      <c r="F73" s="143" t="n"/>
      <c r="G73" s="143" t="n"/>
      <c r="H73" s="143" t="n"/>
      <c r="I73" s="143" t="n"/>
      <c r="J73" s="143" t="n"/>
      <c r="K73" s="143" t="n"/>
      <c r="L73" s="144" t="n"/>
      <c r="M73" s="55" t="n"/>
      <c r="N73" s="55" t="n"/>
    </row>
    <row r="76" ht="18" customHeight="1" s="128">
      <c r="B76" s="54" t="inlineStr">
        <is>
          <t>Observatii</t>
        </is>
      </c>
      <c r="C76" s="155" t="n"/>
      <c r="D76" s="140" t="n"/>
      <c r="E76" s="140" t="n"/>
      <c r="F76" s="140" t="n"/>
      <c r="G76" s="140" t="n"/>
      <c r="H76" s="140" t="n"/>
      <c r="I76" s="140" t="n"/>
      <c r="J76" s="140" t="n"/>
      <c r="K76" s="140" t="n"/>
      <c r="L76" s="141" t="n"/>
      <c r="M76" s="4" t="n"/>
      <c r="N76" s="4" t="n"/>
    </row>
    <row r="77" ht="18" customHeight="1" s="128">
      <c r="C77" s="156" t="n"/>
      <c r="D77" s="157" t="n"/>
      <c r="E77" s="157" t="n"/>
      <c r="F77" s="157" t="n"/>
      <c r="G77" s="157" t="n"/>
      <c r="H77" s="157" t="n"/>
      <c r="I77" s="157" t="n"/>
      <c r="J77" s="157" t="n"/>
      <c r="K77" s="157" t="n"/>
      <c r="L77" s="158" t="n"/>
      <c r="M77" s="4" t="n"/>
      <c r="N77" s="4" t="n"/>
    </row>
    <row r="78" ht="18" customHeight="1" s="128">
      <c r="C78" s="159" t="n"/>
      <c r="D78" s="160" t="n"/>
      <c r="E78" s="160" t="n"/>
      <c r="F78" s="160" t="n"/>
      <c r="G78" s="160" t="n"/>
      <c r="H78" s="160" t="n"/>
      <c r="I78" s="160" t="n"/>
      <c r="J78" s="160" t="n"/>
      <c r="K78" s="160" t="n"/>
      <c r="L78" s="161" t="n"/>
      <c r="M78" s="4" t="n"/>
      <c r="N78" s="4" t="n"/>
    </row>
  </sheetData>
  <sheetProtection selectLockedCells="0" selectUnlockedCells="0" sheet="1" objects="1" insertRows="1" insertHyperlinks="1" autoFilter="1" scenarios="1" formatColumns="0" deleteColumns="1" insertColumns="1" pivotTables="1" deleteRows="1" formatCells="1" formatRows="0" sort="1"/>
  <mergeCells count="54">
    <mergeCell ref="C71:L71"/>
    <mergeCell ref="E12:L12"/>
    <mergeCell ref="E28:G28"/>
    <mergeCell ref="C61:L61"/>
    <mergeCell ref="C39:L39"/>
    <mergeCell ref="C52:L52"/>
    <mergeCell ref="C70:L70"/>
    <mergeCell ref="C8:L8"/>
    <mergeCell ref="C48:L48"/>
    <mergeCell ref="C7:L7"/>
    <mergeCell ref="E14:L14"/>
    <mergeCell ref="E30:G30"/>
    <mergeCell ref="C76:L78"/>
    <mergeCell ref="B29:D29"/>
    <mergeCell ref="C38:L38"/>
    <mergeCell ref="C72:L72"/>
    <mergeCell ref="B56:L56"/>
    <mergeCell ref="C57:L57"/>
    <mergeCell ref="C37:L37"/>
    <mergeCell ref="B28:D28"/>
    <mergeCell ref="C53:L53"/>
    <mergeCell ref="C69:L69"/>
    <mergeCell ref="C49:L49"/>
    <mergeCell ref="E10:L10"/>
    <mergeCell ref="C68:L68"/>
    <mergeCell ref="C34:L34"/>
    <mergeCell ref="B30:D30"/>
    <mergeCell ref="E13:L13"/>
    <mergeCell ref="C6:L6"/>
    <mergeCell ref="C62:L62"/>
    <mergeCell ref="C42:L42"/>
    <mergeCell ref="C58:L58"/>
    <mergeCell ref="C5:L5"/>
    <mergeCell ref="C73:L73"/>
    <mergeCell ref="C4:L4"/>
    <mergeCell ref="C64:L64"/>
    <mergeCell ref="E11:L11"/>
    <mergeCell ref="B26:D26"/>
    <mergeCell ref="C35:L35"/>
    <mergeCell ref="C63:L63"/>
    <mergeCell ref="C65:L65"/>
    <mergeCell ref="C47:L47"/>
    <mergeCell ref="C50:L50"/>
    <mergeCell ref="C41:L41"/>
    <mergeCell ref="C40:L40"/>
    <mergeCell ref="B33:L33"/>
    <mergeCell ref="B27:D27"/>
    <mergeCell ref="C59:L59"/>
    <mergeCell ref="C43:L43"/>
    <mergeCell ref="C51:L51"/>
    <mergeCell ref="C46:L46"/>
    <mergeCell ref="E29:G29"/>
    <mergeCell ref="C60:L60"/>
    <mergeCell ref="C36:L36"/>
  </mergeCells>
  <dataValidations count="6">
    <dataValidation sqref="E18:E25" showDropDown="0" showInputMessage="1" showErrorMessage="1" allowBlank="1" errorTitle="Valoare invalida" error="Greutatea se scrie in grame, ca numar pozitiv (ex: 12 sau 1,5)." type="decimal">
      <formula1>0</formula1>
      <formula2>100000</formula2>
    </dataValidation>
    <dataValidation sqref="F18:F25" showDropDown="0" showInputMessage="1" showErrorMessage="1" allowBlank="1" errorTitle="Valoare invalida" error="Scrieti un procent intre 0% si 100% (ex: 60%)." type="decimal">
      <formula1>0</formula1>
      <formula2>1</formula2>
    </dataValidation>
    <dataValidation sqref="H18:H25" showDropDown="0" showInputMessage="1" showErrorMessage="1" allowBlank="1" errorTitle="Valoare invalida" error="Scrieti un procent intre 0% si 100% (ex: 30%)." type="decimal">
      <formula1>0</formula1>
      <formula2>1</formula2>
    </dataValidation>
    <dataValidation sqref="C11:C14" showDropDown="0" showInputMessage="1" showErrorMessage="1" allowBlank="1" errorTitle="Valoare invalida" error="Scrieti volumul anual ca numar (buc/an), fara text." type="decimal" operator="greaterThanOrEqual">
      <formula1>0</formula1>
    </dataValidation>
    <dataValidation sqref="C35" showDropDown="0" showInputMessage="1" showErrorMessage="1" allowBlank="1" errorTitle="Valoare invalida" error="Valoarea nu este in lista. Puteti continua daca este intentionat." type="list" errorStyle="information">
      <formula1>"Alimentar,Farma,Cosmetic,Supliment alimentar,Altul"</formula1>
    </dataValidation>
    <dataValidation sqref="K18:K25" showDropDown="0" showInputMessage="1" showErrorMessage="1" allowBlank="1" errorTitle="Valoare invalida" error="Scrieti pretul ca numar in EUR / 1000 buc (ex: 300)." type="decimal" operator="greaterThanOrEqual">
      <formula1>0</formula1>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2026-10-12T11:45:17Z</dcterms:created>
  <dcterms:modified xmlns:dcterms="http://purl.org/dc/terms/" xmlns:xsi="http://www.w3.org/2001/XMLSchema-instance" xsi:type="dcterms:W3CDTF">2026-10-28T17:49:06Z</dcterms:modified>
  <cp:lastModifiedBy>Piotr Bocancea</cp:lastModifiedBy>
  <cp:revision>0</cp:revision>
</cp:coreProperties>
</file>