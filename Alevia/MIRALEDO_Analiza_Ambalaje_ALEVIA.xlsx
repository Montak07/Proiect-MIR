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2" activeTab="2" autoFilterDateGrouping="1"/>
  </bookViews>
  <sheets>
    <sheet xmlns:r="http://schemas.openxmlformats.org/officeDocument/2006/relationships" name="Instructiuni" sheetId="1" state="visible" r:id="rId1"/>
    <sheet xmlns:r="http://schemas.openxmlformats.org/officeDocument/2006/relationships" name="Info Companie" sheetId="2" state="visible" r:id="rId2"/>
    <sheet xmlns:r="http://schemas.openxmlformats.org/officeDocument/2006/relationships" name="Unitati Ambalaj" sheetId="3" state="visible" r:id="rId3"/>
    <sheet xmlns:r="http://schemas.openxmlformats.org/officeDocument/2006/relationships" name="Fisa Unitate (Template)" sheetId="4" state="visible" r:id="rId4"/>
    <sheet xmlns:r="http://schemas.openxmlformats.org/officeDocument/2006/relationships" name="Unitate 1" sheetId="5" state="visible" r:id="rId5"/>
    <sheet xmlns:r="http://schemas.openxmlformats.org/officeDocument/2006/relationships" name="Unitate 2" sheetId="6" state="visible" r:id="rId6"/>
  </sheets>
  <definedNames/>
  <calcPr calcId="191029" fullCalcOnLoad="1" iterateDelta="0.0001"/>
</workbook>
</file>

<file path=xl/styles.xml><?xml version="1.0" encoding="utf-8"?>
<styleSheet xmlns="http://schemas.openxmlformats.org/spreadsheetml/2006/main">
  <numFmts count="3">
    <numFmt numFmtId="164" formatCode="0.0%"/>
    <numFmt numFmtId="165" formatCode="#,##0.0;\-#,##0.0;"/>
    <numFmt numFmtId="166" formatCode="#,##0.0"/>
  </numFmts>
  <fonts count="22">
    <font>
      <name val="Calibri"/>
      <charset val="1"/>
      <family val="2"/>
      <color theme="1"/>
      <sz val="11"/>
    </font>
    <font>
      <name val="Arial"/>
      <sz val="10"/>
    </font>
    <font>
      <name val="Arial"/>
      <charset val="1"/>
      <b val="1"/>
      <color rgb="FFFFFFFF"/>
      <sz val="16"/>
    </font>
    <font>
      <name val="Arial"/>
      <charset val="1"/>
      <b val="1"/>
      <color rgb="FF1F3864"/>
      <sz val="11"/>
    </font>
    <font>
      <name val="Arial"/>
      <charset val="1"/>
      <sz val="10"/>
    </font>
    <font>
      <name val="Arial"/>
      <charset val="1"/>
      <b val="1"/>
      <sz val="10"/>
    </font>
    <font>
      <name val="Arial"/>
      <charset val="1"/>
      <i val="1"/>
      <color rgb="FF808080"/>
      <sz val="9"/>
    </font>
    <font>
      <name val="Arial"/>
      <charset val="1"/>
      <i val="1"/>
      <color rgb="FF808080"/>
      <sz val="10"/>
    </font>
    <font>
      <name val="Arial"/>
      <charset val="1"/>
      <b val="1"/>
      <color rgb="FFFFFFFF"/>
      <sz val="10"/>
    </font>
    <font>
      <name val="Arial"/>
      <charset val="1"/>
      <color rgb="FF375623"/>
      <sz val="10"/>
    </font>
    <font>
      <name val="Arial"/>
      <charset val="1"/>
      <b val="1"/>
      <color rgb="FF375623"/>
      <sz val="10"/>
    </font>
    <font>
      <name val="Arial"/>
      <color theme="1"/>
      <sz val="10"/>
    </font>
    <font>
      <name val="Arial"/>
      <b val="1"/>
      <color theme="1"/>
      <sz val="10"/>
    </font>
    <font>
      <name val="Arial"/>
      <b val="1"/>
      <color rgb="FFFFFFFF"/>
      <sz val="16"/>
    </font>
    <font>
      <name val="Arial"/>
      <i val="1"/>
      <color rgb="FF595959"/>
      <sz val="10"/>
    </font>
    <font>
      <name val="Arial"/>
      <b val="1"/>
      <color rgb="FF1F3864"/>
      <sz val="11"/>
    </font>
    <font>
      <name val="Arial"/>
      <b val="1"/>
      <i val="1"/>
      <color rgb="FF808080"/>
      <sz val="10"/>
    </font>
    <font>
      <name val="Arial"/>
      <i val="1"/>
      <color rgb="FF808080"/>
      <sz val="10"/>
    </font>
    <font>
      <name val="Arial"/>
      <color rgb="FF375623"/>
      <sz val="10"/>
    </font>
    <font>
      <name val="Arial"/>
      <b val="1"/>
      <color rgb="FFFFFFFF"/>
      <sz val="10"/>
    </font>
    <font>
      <name val="Arial"/>
      <b val="1"/>
      <color rgb="FF375623"/>
      <sz val="10"/>
    </font>
    <font>
      <name val="Calibri"/>
      <charset val="1"/>
      <family val="2"/>
      <i val="1"/>
      <color rgb="FF808080"/>
      <sz val="11"/>
    </font>
  </fonts>
  <fills count="15">
    <fill>
      <patternFill/>
    </fill>
    <fill>
      <patternFill patternType="gray125"/>
    </fill>
    <fill>
      <patternFill patternType="solid">
        <fgColor rgb="FF1F3864"/>
        <bgColor rgb="FF333399"/>
      </patternFill>
    </fill>
    <fill>
      <patternFill patternType="solid">
        <fgColor rgb="FFD9E2F3"/>
        <bgColor rgb="FFE2EFDA"/>
      </patternFill>
    </fill>
    <fill>
      <patternFill patternType="solid">
        <fgColor rgb="FFFFF2CC"/>
        <bgColor rgb="FFF2F2F2"/>
      </patternFill>
    </fill>
    <fill>
      <patternFill patternType="solid">
        <fgColor rgb="FFE2EFDA"/>
        <bgColor rgb="FFF2F2F2"/>
      </patternFill>
    </fill>
    <fill>
      <patternFill patternType="solid">
        <fgColor rgb="FFC6E0B4"/>
        <bgColor rgb="FFE2EFDA"/>
      </patternFill>
    </fill>
    <fill>
      <patternFill patternType="solid">
        <fgColor rgb="FFF2F2F2"/>
        <bgColor rgb="FFE2EFDA"/>
      </patternFill>
    </fill>
    <fill>
      <patternFill patternType="solid">
        <fgColor rgb="FF1F3864"/>
        <bgColor indexed="64"/>
      </patternFill>
    </fill>
    <fill>
      <patternFill patternType="solid">
        <fgColor rgb="FFD9E2F3"/>
        <bgColor indexed="64"/>
      </patternFill>
    </fill>
    <fill>
      <patternFill patternType="solid">
        <fgColor rgb="FFF2F2F2"/>
        <bgColor indexed="64"/>
      </patternFill>
    </fill>
    <fill>
      <patternFill patternType="solid">
        <fgColor rgb="FFFFF2CC"/>
        <bgColor indexed="64"/>
      </patternFill>
    </fill>
    <fill>
      <patternFill patternType="solid">
        <fgColor rgb="FFE2EFDA"/>
        <bgColor indexed="64"/>
      </patternFill>
    </fill>
    <fill>
      <patternFill patternType="solid">
        <fgColor rgb="FFC6E0B4"/>
        <bgColor indexed="64"/>
      </patternFill>
    </fill>
    <fill>
      <patternFill patternType="solid">
        <fgColor rgb="FFFFFFFF"/>
        <bgColor indexed="64"/>
      </patternFill>
    </fill>
  </fills>
  <borders count="17">
    <border>
      <left/>
      <right/>
      <top/>
      <bottom/>
      <diagonal/>
    </border>
    <border>
      <left style="thin">
        <color rgb="FFB7B7B7"/>
      </left>
      <right style="thin">
        <color rgb="FFB7B7B7"/>
      </right>
      <top style="thin">
        <color rgb="FFB7B7B7"/>
      </top>
      <bottom style="thin">
        <color rgb="FFB7B7B7"/>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style="thin">
        <color rgb="FFB7B7B7"/>
      </left>
      <right/>
      <top style="thin">
        <color rgb="FFB7B7B7"/>
      </top>
      <bottom style="thin">
        <color rgb="FFB7B7B7"/>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
      <left/>
      <right/>
      <top/>
      <bottom style="thin">
        <color rgb="FFB7B7B7"/>
      </bottom>
      <diagonal/>
    </border>
    <border>
      <left style="thin">
        <color rgb="FFB7B7B7"/>
      </left>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style="thin">
        <color rgb="FFB7B7B7"/>
      </right>
      <top/>
      <bottom style="thin">
        <color rgb="FFB7B7B7"/>
      </bottom>
      <diagonal/>
    </border>
    <border>
      <left style="thin">
        <color rgb="FFB7B7B7"/>
      </left>
      <right style="thin">
        <color rgb="FFB7B7B7"/>
      </right>
      <top style="thin">
        <color rgb="FFB7B7B7"/>
      </top>
      <bottom/>
      <diagonal/>
    </border>
  </borders>
  <cellStyleXfs count="1">
    <xf numFmtId="0" fontId="0" fillId="0" borderId="0"/>
  </cellStyleXfs>
  <cellXfs count="165">
    <xf numFmtId="0" fontId="0" fillId="0" borderId="0" pivotButton="0" quotePrefix="0" xfId="0"/>
    <xf numFmtId="0" fontId="6" fillId="0" borderId="0" applyAlignment="1" pivotButton="0" quotePrefix="0" xfId="0">
      <alignment vertical="top" wrapText="1"/>
    </xf>
    <xf numFmtId="0" fontId="5" fillId="0" borderId="1" applyAlignment="1" pivotButton="0" quotePrefix="0" xfId="0">
      <alignment horizontal="left" vertical="top" wrapText="1"/>
    </xf>
    <xf numFmtId="0" fontId="8" fillId="2" borderId="1" applyAlignment="1" pivotButton="0" quotePrefix="0" xfId="0">
      <alignment horizontal="center" vertical="center" wrapText="1"/>
    </xf>
    <xf numFmtId="0" fontId="11" fillId="0" borderId="0" applyAlignment="1" pivotButton="0" quotePrefix="0" xfId="0">
      <alignment vertical="top" wrapText="1"/>
    </xf>
    <xf numFmtId="0" fontId="13" fillId="8" borderId="0" applyAlignment="1" pivotButton="0" quotePrefix="0" xfId="0">
      <alignment vertical="center"/>
    </xf>
    <xf numFmtId="0" fontId="11" fillId="8" borderId="0" applyAlignment="1" pivotButton="0" quotePrefix="0" xfId="0">
      <alignment vertical="center" wrapText="1"/>
    </xf>
    <xf numFmtId="0" fontId="14" fillId="0" borderId="0" applyAlignment="1" pivotButton="0" quotePrefix="0" xfId="0">
      <alignment vertical="top"/>
    </xf>
    <xf numFmtId="0" fontId="15" fillId="9" borderId="0" applyAlignment="1" pivotButton="0" quotePrefix="0" xfId="0">
      <alignment vertical="center"/>
    </xf>
    <xf numFmtId="0" fontId="11" fillId="9" borderId="0" applyAlignment="1" pivotButton="0" quotePrefix="0" xfId="0">
      <alignment vertical="center" wrapText="1"/>
    </xf>
    <xf numFmtId="0" fontId="12" fillId="0" borderId="2" applyAlignment="1" pivotButton="0" quotePrefix="0" xfId="0">
      <alignment vertical="top" wrapText="1"/>
    </xf>
    <xf numFmtId="0" fontId="11" fillId="0" borderId="2" applyAlignment="1" pivotButton="0" quotePrefix="0" xfId="0">
      <alignment vertical="top" wrapText="1"/>
    </xf>
    <xf numFmtId="0" fontId="12" fillId="0" borderId="0" applyAlignment="1" pivotButton="0" quotePrefix="0" xfId="0">
      <alignment vertical="top" wrapText="1"/>
    </xf>
    <xf numFmtId="0" fontId="12" fillId="0" borderId="3" applyAlignment="1" pivotButton="0" quotePrefix="0" xfId="0">
      <alignment vertical="top" wrapText="1"/>
    </xf>
    <xf numFmtId="0" fontId="11" fillId="0" borderId="3" applyAlignment="1" pivotButton="0" quotePrefix="0" xfId="0">
      <alignment vertical="top" wrapText="1"/>
    </xf>
    <xf numFmtId="0" fontId="12" fillId="0" borderId="4" applyAlignment="1" pivotButton="0" quotePrefix="0" xfId="0">
      <alignment vertical="top" wrapText="1"/>
    </xf>
    <xf numFmtId="0" fontId="11" fillId="0" borderId="4" applyAlignment="1" pivotButton="0" quotePrefix="0" xfId="0">
      <alignment vertical="top" wrapText="1"/>
    </xf>
    <xf numFmtId="0" fontId="12" fillId="10" borderId="3" applyAlignment="1" pivotButton="0" quotePrefix="0" xfId="0">
      <alignment vertical="top" wrapText="1"/>
    </xf>
    <xf numFmtId="0" fontId="11" fillId="10" borderId="3" applyAlignment="1" pivotButton="0" quotePrefix="0" xfId="0">
      <alignment vertical="top" wrapText="1"/>
    </xf>
    <xf numFmtId="0" fontId="12" fillId="11" borderId="0" applyAlignment="1" pivotButton="0" quotePrefix="0" xfId="0">
      <alignment vertical="top" wrapText="1"/>
    </xf>
    <xf numFmtId="0" fontId="12" fillId="12" borderId="4" applyAlignment="1" pivotButton="0" quotePrefix="0" xfId="0">
      <alignment vertical="top" wrapText="1"/>
    </xf>
    <xf numFmtId="0" fontId="12" fillId="13" borderId="4" applyAlignment="1" pivotButton="0" quotePrefix="0" xfId="0">
      <alignment vertical="top" wrapText="1"/>
    </xf>
    <xf numFmtId="0" fontId="16" fillId="0" borderId="3" applyAlignment="1" pivotButton="0" quotePrefix="0" xfId="0">
      <alignment vertical="top" wrapText="1"/>
    </xf>
    <xf numFmtId="0" fontId="17" fillId="0" borderId="3" applyAlignment="1" pivotButton="0" quotePrefix="0" xfId="0">
      <alignment vertical="top" wrapText="1"/>
    </xf>
    <xf numFmtId="0" fontId="17" fillId="4" borderId="1" applyAlignment="1" pivotButton="0" quotePrefix="0" xfId="0">
      <alignment horizontal="center" vertical="center" wrapText="1"/>
    </xf>
    <xf numFmtId="164" fontId="18" fillId="5" borderId="1" applyAlignment="1" pivotButton="0" quotePrefix="0" xfId="0">
      <alignment horizontal="center" vertical="center" wrapText="1"/>
    </xf>
    <xf numFmtId="0" fontId="18" fillId="5" borderId="1" applyAlignment="1" pivotButton="0" quotePrefix="0" xfId="0">
      <alignment horizontal="center" vertical="center" wrapText="1"/>
    </xf>
    <xf numFmtId="0" fontId="11" fillId="4" borderId="1" applyAlignment="1" pivotButton="0" quotePrefix="0" xfId="0">
      <alignment horizontal="center" vertical="center" wrapText="1"/>
    </xf>
    <xf numFmtId="0" fontId="1" fillId="4" borderId="1" applyAlignment="1" pivotButton="0" quotePrefix="0" xfId="0">
      <alignment horizontal="center" vertical="center" wrapText="1"/>
    </xf>
    <xf numFmtId="0" fontId="17" fillId="7" borderId="1" applyAlignment="1" pivotButton="0" quotePrefix="0" xfId="0">
      <alignment horizontal="left" vertical="center" wrapText="1"/>
    </xf>
    <xf numFmtId="0" fontId="1" fillId="4" borderId="1" applyAlignment="1" pivotButton="0" quotePrefix="0" xfId="0">
      <alignment horizontal="left" vertical="center" wrapText="1"/>
    </xf>
    <xf numFmtId="0" fontId="11" fillId="4" borderId="1" applyAlignment="1" pivotButton="0" quotePrefix="0" xfId="0">
      <alignment horizontal="left" vertical="center" wrapText="1"/>
    </xf>
    <xf numFmtId="165" fontId="18" fillId="5" borderId="1" applyAlignment="1" pivotButton="0" quotePrefix="0" xfId="0">
      <alignment horizontal="center" vertical="center" wrapText="1"/>
    </xf>
    <xf numFmtId="0" fontId="2" fillId="8" borderId="0" applyAlignment="1" pivotButton="0" quotePrefix="0" xfId="0">
      <alignment horizontal="left" vertical="center" indent="1"/>
    </xf>
    <xf numFmtId="0" fontId="0" fillId="8" borderId="0" pivotButton="0" quotePrefix="0" xfId="0"/>
    <xf numFmtId="0" fontId="3" fillId="9" borderId="0" applyAlignment="1" pivotButton="0" quotePrefix="0" xfId="0">
      <alignment horizontal="left" vertical="center" indent="1"/>
    </xf>
    <xf numFmtId="0" fontId="0" fillId="9" borderId="0" pivotButton="0" quotePrefix="0" xfId="0"/>
    <xf numFmtId="0" fontId="8" fillId="2" borderId="5" applyAlignment="1" pivotButton="0" quotePrefix="0" xfId="0">
      <alignment horizontal="center" vertical="center" wrapText="1"/>
    </xf>
    <xf numFmtId="166" fontId="9" fillId="5" borderId="1" applyAlignment="1" pivotButton="0" quotePrefix="0" xfId="0">
      <alignment horizontal="center" vertical="center"/>
    </xf>
    <xf numFmtId="166" fontId="10" fillId="6" borderId="1" applyAlignment="1" pivotButton="0" quotePrefix="0" xfId="0">
      <alignment horizontal="center" vertical="center"/>
    </xf>
    <xf numFmtId="0" fontId="10" fillId="14" borderId="1" applyAlignment="1" pivotButton="0" quotePrefix="0" xfId="0">
      <alignment horizontal="center" vertical="center"/>
    </xf>
    <xf numFmtId="164" fontId="10" fillId="6" borderId="1" applyAlignment="1" pivotButton="0" quotePrefix="0" xfId="0">
      <alignment horizontal="center" vertical="center"/>
    </xf>
    <xf numFmtId="0" fontId="4" fillId="4" borderId="1" applyAlignment="1" applyProtection="1" pivotButton="0" quotePrefix="0" xfId="0">
      <alignment horizontal="left" vertical="top" wrapText="1"/>
      <protection locked="0" hidden="0"/>
    </xf>
    <xf numFmtId="0" fontId="4" fillId="4" borderId="1" applyAlignment="1" applyProtection="1" pivotButton="0" quotePrefix="0" xfId="0">
      <alignment vertical="top" wrapText="1"/>
      <protection locked="0" hidden="0"/>
    </xf>
    <xf numFmtId="0" fontId="4" fillId="4" borderId="1" applyAlignment="1" applyProtection="1" pivotButton="0" quotePrefix="0" xfId="0">
      <alignment horizontal="center" vertical="center"/>
      <protection locked="0" hidden="0"/>
    </xf>
    <xf numFmtId="9" fontId="4" fillId="4" borderId="1" applyAlignment="1" applyProtection="1" pivotButton="0" quotePrefix="0" xfId="0">
      <alignment horizontal="center" vertical="center"/>
      <protection locked="0" hidden="0"/>
    </xf>
    <xf numFmtId="0" fontId="7" fillId="7" borderId="1" applyAlignment="1" applyProtection="1" pivotButton="0" quotePrefix="0" xfId="0">
      <alignment horizontal="left" vertical="top" wrapText="1"/>
      <protection locked="0" hidden="0"/>
    </xf>
    <xf numFmtId="0" fontId="7" fillId="7" borderId="1" applyAlignment="1" applyProtection="1" pivotButton="0" quotePrefix="0" xfId="0">
      <alignment vertical="top" wrapText="1"/>
      <protection locked="0" hidden="0"/>
    </xf>
    <xf numFmtId="0" fontId="7" fillId="7" borderId="1" applyAlignment="1" applyProtection="1" pivotButton="0" quotePrefix="0" xfId="0">
      <alignment horizontal="center" vertical="center"/>
      <protection locked="0" hidden="0"/>
    </xf>
    <xf numFmtId="9" fontId="7" fillId="7" borderId="1" applyAlignment="1" applyProtection="1" pivotButton="0" quotePrefix="0" xfId="0">
      <alignment horizontal="center" vertical="center"/>
      <protection locked="0" hidden="0"/>
    </xf>
    <xf numFmtId="0" fontId="8" fillId="0" borderId="0" applyAlignment="1" pivotButton="0" quotePrefix="0" xfId="0">
      <alignment horizontal="center" vertical="center" wrapText="1"/>
    </xf>
    <xf numFmtId="0" fontId="0" fillId="14" borderId="0" pivotButton="0" quotePrefix="0" xfId="0"/>
    <xf numFmtId="0" fontId="5" fillId="0" borderId="5" applyAlignment="1" pivotButton="0" quotePrefix="0" xfId="0">
      <alignment horizontal="left" vertical="center" wrapText="1"/>
    </xf>
    <xf numFmtId="0" fontId="4" fillId="4" borderId="5" applyAlignment="1" applyProtection="1" pivotButton="0" quotePrefix="0" xfId="0">
      <alignment horizontal="left" vertical="top" wrapText="1"/>
      <protection locked="0" hidden="0"/>
    </xf>
    <xf numFmtId="0" fontId="5" fillId="0" borderId="5" applyAlignment="1" pivotButton="0" quotePrefix="0" xfId="0">
      <alignment horizontal="left" vertical="top" wrapText="1"/>
    </xf>
    <xf numFmtId="0" fontId="0" fillId="0" borderId="0" applyAlignment="1" pivotButton="0" quotePrefix="0" xfId="0">
      <alignment vertical="center" wrapText="1"/>
    </xf>
    <xf numFmtId="0" fontId="7" fillId="7" borderId="5" applyAlignment="1" applyProtection="1" pivotButton="0" quotePrefix="0" xfId="0">
      <alignment horizontal="left" vertical="top" wrapText="1"/>
      <protection locked="0" hidden="0"/>
    </xf>
    <xf numFmtId="0" fontId="7" fillId="0" borderId="0" applyAlignment="1" pivotButton="0" quotePrefix="0" xfId="0">
      <alignment horizontal="left" vertical="center" wrapText="1"/>
    </xf>
    <xf numFmtId="0" fontId="7" fillId="0" borderId="0" applyAlignment="1" pivotButton="0" quotePrefix="0" xfId="0">
      <alignment vertical="center" wrapText="1"/>
    </xf>
    <xf numFmtId="0" fontId="4" fillId="4" borderId="5" applyAlignment="1" applyProtection="1" pivotButton="0" quotePrefix="0" xfId="0">
      <alignment horizontal="left" vertical="center" wrapText="1"/>
      <protection locked="0" hidden="0"/>
    </xf>
    <xf numFmtId="0" fontId="10" fillId="14" borderId="5" applyAlignment="1" pivotButton="0" quotePrefix="0" xfId="0">
      <alignment horizontal="center" vertical="center"/>
    </xf>
    <xf numFmtId="0" fontId="10" fillId="0" borderId="0" applyAlignment="1" pivotButton="0" quotePrefix="0" xfId="0">
      <alignment horizontal="center" vertical="center"/>
    </xf>
    <xf numFmtId="0" fontId="7" fillId="7" borderId="5" applyAlignment="1" applyProtection="1" pivotButton="0" quotePrefix="0" xfId="0">
      <alignment horizontal="left" vertical="center" wrapText="1"/>
      <protection locked="0" hidden="0"/>
    </xf>
    <xf numFmtId="0" fontId="3" fillId="14" borderId="0" applyAlignment="1" pivotButton="0" quotePrefix="0" xfId="0">
      <alignment horizontal="left" vertical="center" indent="1"/>
    </xf>
    <xf numFmtId="0" fontId="4" fillId="4" borderId="16" applyAlignment="1" applyProtection="1" pivotButton="0" quotePrefix="0" xfId="0">
      <alignment horizontal="left" vertical="top" wrapText="1"/>
      <protection locked="0" hidden="0"/>
    </xf>
    <xf numFmtId="0" fontId="20" fillId="13" borderId="1" applyAlignment="1" pivotButton="0" quotePrefix="0" xfId="0">
      <alignment vertical="center" wrapText="1"/>
    </xf>
    <xf numFmtId="3" fontId="20" fillId="13" borderId="1" applyAlignment="1" pivotButton="0" quotePrefix="0" xfId="0">
      <alignment horizontal="center" vertical="center"/>
    </xf>
    <xf numFmtId="3" fontId="4" fillId="4" borderId="5" applyAlignment="1" applyProtection="1" pivotButton="0" quotePrefix="0" xfId="0">
      <alignment horizontal="left" vertical="top" wrapText="1"/>
      <protection locked="0" hidden="0"/>
    </xf>
    <xf numFmtId="3" fontId="4" fillId="4" borderId="9" applyAlignment="1" applyProtection="1" pivotButton="0" quotePrefix="0" xfId="0">
      <alignment horizontal="left" vertical="top" wrapText="1"/>
      <protection locked="0" hidden="0"/>
    </xf>
    <xf numFmtId="4" fontId="4" fillId="4" borderId="1" applyAlignment="1" applyProtection="1" pivotButton="0" quotePrefix="0" xfId="0">
      <alignment horizontal="center" vertical="center"/>
      <protection locked="0" hidden="0"/>
    </xf>
    <xf numFmtId="0" fontId="0" fillId="0" borderId="0" applyAlignment="1" pivotButton="0" quotePrefix="0" xfId="0">
      <alignment vertical="center"/>
    </xf>
    <xf numFmtId="3" fontId="7" fillId="7" borderId="5" applyAlignment="1" applyProtection="1" pivotButton="0" quotePrefix="0" xfId="0">
      <alignment horizontal="left" vertical="top" wrapText="1"/>
      <protection locked="0" hidden="0"/>
    </xf>
    <xf numFmtId="4" fontId="7" fillId="7" borderId="1" applyAlignment="1" applyProtection="1" pivotButton="0" quotePrefix="0" xfId="0">
      <alignment horizontal="center" vertical="center"/>
      <protection locked="0" hidden="0"/>
    </xf>
    <xf numFmtId="0" fontId="19" fillId="8" borderId="1" applyAlignment="1" pivotButton="0" quotePrefix="0" xfId="0">
      <alignment horizontal="center" vertical="center"/>
    </xf>
    <xf numFmtId="0" fontId="12" fillId="0" borderId="1" applyAlignment="1" pivotButton="0" quotePrefix="0" xfId="0">
      <alignment horizontal="left" vertical="center"/>
    </xf>
    <xf numFmtId="0" fontId="18" fillId="12" borderId="1" applyAlignment="1" pivotButton="0" quotePrefix="0" xfId="0">
      <alignment horizontal="center" vertical="center"/>
    </xf>
    <xf numFmtId="0" fontId="19" fillId="8" borderId="1" applyAlignment="1" pivotButton="0" quotePrefix="0" xfId="0">
      <alignment horizontal="left" vertical="center"/>
    </xf>
    <xf numFmtId="0" fontId="7" fillId="4" borderId="1" applyAlignment="1" pivotButton="0" quotePrefix="0" xfId="0">
      <alignment horizontal="left" vertical="top" wrapText="1"/>
    </xf>
    <xf numFmtId="0" fontId="7" fillId="4" borderId="5" applyAlignment="1" pivotButton="0" quotePrefix="0" xfId="0">
      <alignment horizontal="left" vertical="top" wrapText="1"/>
    </xf>
    <xf numFmtId="0" fontId="7" fillId="4" borderId="6" applyAlignment="1" pivotButton="0" quotePrefix="0" xfId="0">
      <alignment horizontal="left" vertical="top" wrapText="1"/>
    </xf>
    <xf numFmtId="0" fontId="3" fillId="3" borderId="0" applyAlignment="1" pivotButton="0" quotePrefix="0" xfId="0">
      <alignment horizontal="left" vertical="center" indent="1"/>
    </xf>
    <xf numFmtId="0" fontId="2" fillId="2" borderId="0" applyAlignment="1" pivotButton="0" quotePrefix="0" xfId="0">
      <alignment horizontal="left" vertical="center" indent="1"/>
    </xf>
    <xf numFmtId="0" fontId="6" fillId="0" borderId="0" applyAlignment="1" pivotButton="0" quotePrefix="0" xfId="0">
      <alignment vertical="top" wrapText="1"/>
    </xf>
    <xf numFmtId="0" fontId="0" fillId="11" borderId="5" applyAlignment="1" applyProtection="1" pivotButton="0" quotePrefix="0" xfId="0">
      <alignment vertical="center"/>
      <protection locked="0" hidden="0"/>
    </xf>
    <xf numFmtId="0" fontId="0" fillId="11" borderId="7" applyAlignment="1" applyProtection="1" pivotButton="0" quotePrefix="0" xfId="0">
      <alignment vertical="center"/>
      <protection locked="0" hidden="0"/>
    </xf>
    <xf numFmtId="0" fontId="0" fillId="11" borderId="6" applyAlignment="1" applyProtection="1" pivotButton="0" quotePrefix="0" xfId="0">
      <alignment vertical="center"/>
      <protection locked="0" hidden="0"/>
    </xf>
    <xf numFmtId="0" fontId="10" fillId="13" borderId="5" applyAlignment="1" pivotButton="0" quotePrefix="0" xfId="0">
      <alignment horizontal="left" vertical="center" wrapText="1"/>
    </xf>
    <xf numFmtId="0" fontId="10" fillId="13" borderId="7" applyAlignment="1" pivotButton="0" quotePrefix="0" xfId="0">
      <alignment horizontal="left" vertical="center" wrapText="1"/>
    </xf>
    <xf numFmtId="0" fontId="10" fillId="13" borderId="6" applyAlignment="1" pivotButton="0" quotePrefix="0" xfId="0">
      <alignment horizontal="left" vertical="center" wrapText="1"/>
    </xf>
    <xf numFmtId="4" fontId="10" fillId="13" borderId="5" applyAlignment="1" pivotButton="0" quotePrefix="0" xfId="0">
      <alignment horizontal="center" vertical="center" wrapText="1"/>
    </xf>
    <xf numFmtId="0" fontId="10" fillId="13" borderId="7" applyAlignment="1" pivotButton="0" quotePrefix="0" xfId="0">
      <alignment horizontal="center" vertical="center" wrapText="1"/>
    </xf>
    <xf numFmtId="0" fontId="10" fillId="13" borderId="6" applyAlignment="1" pivotButton="0" quotePrefix="0" xfId="0">
      <alignment horizontal="center" vertical="center" wrapText="1"/>
    </xf>
    <xf numFmtId="3" fontId="10" fillId="13" borderId="5" applyAlignment="1" pivotButton="0" quotePrefix="0" xfId="0">
      <alignment horizontal="center" vertical="center" wrapText="1"/>
    </xf>
    <xf numFmtId="0" fontId="0" fillId="11" borderId="9" applyAlignment="1" applyProtection="1" pivotButton="0" quotePrefix="0" xfId="0">
      <alignment vertical="top" wrapText="1"/>
      <protection locked="0" hidden="0"/>
    </xf>
    <xf numFmtId="0" fontId="0" fillId="11" borderId="10" applyAlignment="1" applyProtection="1" pivotButton="0" quotePrefix="0" xfId="0">
      <alignment vertical="top" wrapText="1"/>
      <protection locked="0" hidden="0"/>
    </xf>
    <xf numFmtId="0" fontId="0" fillId="11" borderId="11" applyAlignment="1" applyProtection="1" pivotButton="0" quotePrefix="0" xfId="0">
      <alignment vertical="top" wrapText="1"/>
      <protection locked="0" hidden="0"/>
    </xf>
    <xf numFmtId="0" fontId="0" fillId="11" borderId="12" applyAlignment="1" applyProtection="1" pivotButton="0" quotePrefix="0" xfId="0">
      <alignment vertical="top" wrapText="1"/>
      <protection locked="0" hidden="0"/>
    </xf>
    <xf numFmtId="0" fontId="0" fillId="11" borderId="0" applyAlignment="1" applyProtection="1" pivotButton="0" quotePrefix="0" xfId="0">
      <alignment vertical="top" wrapText="1"/>
      <protection locked="0" hidden="0"/>
    </xf>
    <xf numFmtId="0" fontId="0" fillId="11" borderId="13" applyAlignment="1" applyProtection="1" pivotButton="0" quotePrefix="0" xfId="0">
      <alignment vertical="top" wrapText="1"/>
      <protection locked="0" hidden="0"/>
    </xf>
    <xf numFmtId="0" fontId="0" fillId="11" borderId="14" applyAlignment="1" applyProtection="1" pivotButton="0" quotePrefix="0" xfId="0">
      <alignment vertical="top" wrapText="1"/>
      <protection locked="0" hidden="0"/>
    </xf>
    <xf numFmtId="0" fontId="0" fillId="11" borderId="8" applyAlignment="1" applyProtection="1" pivotButton="0" quotePrefix="0" xfId="0">
      <alignment vertical="top" wrapText="1"/>
      <protection locked="0" hidden="0"/>
    </xf>
    <xf numFmtId="0" fontId="0" fillId="11" borderId="15" applyAlignment="1" applyProtection="1" pivotButton="0" quotePrefix="0" xfId="0">
      <alignment vertical="top" wrapText="1"/>
      <protection locked="0" hidden="0"/>
    </xf>
    <xf numFmtId="0" fontId="8" fillId="2" borderId="5" applyAlignment="1" pivotButton="0" quotePrefix="0" xfId="0">
      <alignment horizontal="center" vertical="center" wrapText="1"/>
    </xf>
    <xf numFmtId="0" fontId="8" fillId="2" borderId="7" applyAlignment="1" pivotButton="0" quotePrefix="0" xfId="0">
      <alignment horizontal="center" vertical="center" wrapText="1"/>
    </xf>
    <xf numFmtId="0" fontId="0" fillId="11" borderId="5" applyAlignment="1" applyProtection="1" pivotButton="0" quotePrefix="0" xfId="0">
      <alignment horizontal="left" vertical="center" wrapText="1"/>
      <protection locked="0" hidden="0"/>
    </xf>
    <xf numFmtId="0" fontId="0" fillId="11" borderId="7" applyAlignment="1" applyProtection="1" pivotButton="0" quotePrefix="0" xfId="0">
      <alignment horizontal="left" vertical="center" wrapText="1"/>
      <protection locked="0" hidden="0"/>
    </xf>
    <xf numFmtId="0" fontId="0" fillId="11" borderId="9" applyAlignment="1" applyProtection="1" pivotButton="0" quotePrefix="0" xfId="0">
      <alignment vertical="center" wrapText="1"/>
      <protection locked="0" hidden="0"/>
    </xf>
    <xf numFmtId="0" fontId="0" fillId="11" borderId="10" applyAlignment="1" applyProtection="1" pivotButton="0" quotePrefix="0" xfId="0">
      <alignment vertical="center" wrapText="1"/>
      <protection locked="0" hidden="0"/>
    </xf>
    <xf numFmtId="0" fontId="0" fillId="11" borderId="11" applyAlignment="1" applyProtection="1" pivotButton="0" quotePrefix="0" xfId="0">
      <alignment vertical="center" wrapText="1"/>
      <protection locked="0" hidden="0"/>
    </xf>
    <xf numFmtId="0" fontId="0" fillId="11" borderId="5" applyAlignment="1" applyProtection="1" pivotButton="0" quotePrefix="0" xfId="0">
      <alignment vertical="center" wrapText="1"/>
      <protection locked="0" hidden="0"/>
    </xf>
    <xf numFmtId="0" fontId="0" fillId="11" borderId="7" applyAlignment="1" applyProtection="1" pivotButton="0" quotePrefix="0" xfId="0">
      <alignment vertical="center" wrapText="1"/>
      <protection locked="0" hidden="0"/>
    </xf>
    <xf numFmtId="0" fontId="0" fillId="11" borderId="6" applyAlignment="1" applyProtection="1" pivotButton="0" quotePrefix="0" xfId="0">
      <alignment vertical="center" wrapText="1"/>
      <protection locked="0" hidden="0"/>
    </xf>
    <xf numFmtId="0" fontId="6" fillId="0" borderId="8" applyAlignment="1" pivotButton="0" quotePrefix="0" xfId="0">
      <alignment vertical="top" wrapText="1"/>
    </xf>
    <xf numFmtId="0" fontId="10" fillId="6" borderId="5" applyAlignment="1" pivotButton="0" quotePrefix="0" xfId="0">
      <alignment horizontal="center" vertical="center" wrapText="1"/>
    </xf>
    <xf numFmtId="0" fontId="10" fillId="6" borderId="7" applyAlignment="1" pivotButton="0" quotePrefix="0" xfId="0">
      <alignment horizontal="center" vertical="center" wrapText="1"/>
    </xf>
    <xf numFmtId="0" fontId="10" fillId="6" borderId="6" applyAlignment="1" pivotButton="0" quotePrefix="0" xfId="0">
      <alignment horizontal="center" vertical="center" wrapText="1"/>
    </xf>
    <xf numFmtId="0" fontId="10" fillId="6" borderId="1" applyAlignment="1" pivotButton="0" quotePrefix="0" xfId="0">
      <alignment horizontal="left" vertical="top" wrapText="1"/>
    </xf>
    <xf numFmtId="0" fontId="21" fillId="11" borderId="5" applyAlignment="1" applyProtection="1" pivotButton="0" quotePrefix="0" xfId="0">
      <alignment vertical="center"/>
      <protection locked="0" hidden="0"/>
    </xf>
    <xf numFmtId="0" fontId="21" fillId="11" borderId="7" applyAlignment="1" applyProtection="1" pivotButton="0" quotePrefix="0" xfId="0">
      <alignment vertical="center"/>
      <protection locked="0" hidden="0"/>
    </xf>
    <xf numFmtId="0" fontId="21" fillId="11" borderId="6" applyAlignment="1" applyProtection="1" pivotButton="0" quotePrefix="0" xfId="0">
      <alignment vertical="center"/>
      <protection locked="0" hidden="0"/>
    </xf>
    <xf numFmtId="0" fontId="7" fillId="7" borderId="5" applyAlignment="1" applyProtection="1" pivotButton="0" quotePrefix="0" xfId="0">
      <alignment horizontal="left" vertical="center" wrapText="1"/>
      <protection locked="0" hidden="0"/>
    </xf>
    <xf numFmtId="0" fontId="7" fillId="7" borderId="7" applyAlignment="1" applyProtection="1" pivotButton="0" quotePrefix="0" xfId="0">
      <alignment horizontal="left" vertical="center" wrapText="1"/>
      <protection locked="0" hidden="0"/>
    </xf>
    <xf numFmtId="0" fontId="7" fillId="11" borderId="9" applyAlignment="1" applyProtection="1" pivotButton="0" quotePrefix="0" xfId="0">
      <alignment horizontal="left" vertical="center" wrapText="1"/>
      <protection locked="0" hidden="0"/>
    </xf>
    <xf numFmtId="0" fontId="7" fillId="11" borderId="10" applyAlignment="1" applyProtection="1" pivotButton="0" quotePrefix="0" xfId="0">
      <alignment horizontal="left" vertical="center" wrapText="1"/>
      <protection locked="0" hidden="0"/>
    </xf>
    <xf numFmtId="0" fontId="7" fillId="11" borderId="11" applyAlignment="1" applyProtection="1" pivotButton="0" quotePrefix="0" xfId="0">
      <alignment horizontal="left" vertical="center" wrapText="1"/>
      <protection locked="0" hidden="0"/>
    </xf>
    <xf numFmtId="0" fontId="7" fillId="11" borderId="5" applyAlignment="1" applyProtection="1" pivotButton="0" quotePrefix="0" xfId="0">
      <alignment horizontal="left" vertical="center" wrapText="1"/>
      <protection locked="0" hidden="0"/>
    </xf>
    <xf numFmtId="0" fontId="7" fillId="11" borderId="7" applyAlignment="1" applyProtection="1" pivotButton="0" quotePrefix="0" xfId="0">
      <alignment horizontal="left" vertical="center" wrapText="1"/>
      <protection locked="0" hidden="0"/>
    </xf>
    <xf numFmtId="0" fontId="7" fillId="11" borderId="6" applyAlignment="1" applyProtection="1" pivotButton="0" quotePrefix="0" xfId="0">
      <alignment horizontal="left" vertical="center" wrapText="1"/>
      <protection locked="0" hidden="0"/>
    </xf>
    <xf numFmtId="0" fontId="0" fillId="0" borderId="0" pivotButton="0" quotePrefix="0" xfId="0"/>
    <xf numFmtId="0" fontId="2" fillId="8" borderId="0" applyAlignment="1" pivotButton="0" quotePrefix="0" xfId="0">
      <alignment horizontal="left" vertical="center" indent="1"/>
    </xf>
    <xf numFmtId="0" fontId="4" fillId="4" borderId="1" applyAlignment="1" pivotButton="0" quotePrefix="0" xfId="0">
      <alignment horizontal="left" vertical="top" wrapText="1"/>
    </xf>
    <xf numFmtId="0" fontId="0" fillId="0" borderId="6" pivotButton="0" quotePrefix="0" xfId="0"/>
    <xf numFmtId="0" fontId="1" fillId="4" borderId="1" applyAlignment="1" pivotButton="0" quotePrefix="0" xfId="0">
      <alignment horizontal="center" vertical="center"/>
    </xf>
    <xf numFmtId="0" fontId="1" fillId="4" borderId="1" applyAlignment="1" pivotButton="0" quotePrefix="0" xfId="0">
      <alignment horizontal="left" vertical="center"/>
    </xf>
    <xf numFmtId="165" fontId="18" fillId="5" borderId="1" applyAlignment="1" pivotButton="0" quotePrefix="0" xfId="0">
      <alignment horizontal="center" vertical="center"/>
    </xf>
    <xf numFmtId="164" fontId="18" fillId="5" borderId="1" applyAlignment="1" pivotButton="0" quotePrefix="0" xfId="0">
      <alignment horizontal="center" vertical="center"/>
    </xf>
    <xf numFmtId="0" fontId="18" fillId="5" borderId="1" applyAlignment="1" pivotButton="0" quotePrefix="0" xfId="0">
      <alignment horizontal="center" vertical="center"/>
    </xf>
    <xf numFmtId="0" fontId="11" fillId="4" borderId="1" applyAlignment="1" pivotButton="0" quotePrefix="0" xfId="0">
      <alignment horizontal="center" vertical="center"/>
    </xf>
    <xf numFmtId="0" fontId="11" fillId="4" borderId="1" applyAlignment="1" pivotButton="0" quotePrefix="0" xfId="0">
      <alignment horizontal="left" vertical="center"/>
    </xf>
    <xf numFmtId="0" fontId="0" fillId="11" borderId="16" applyAlignment="1" applyProtection="1" pivotButton="0" quotePrefix="0" xfId="0">
      <alignment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11" borderId="1" applyAlignment="1" applyProtection="1" pivotButton="0" quotePrefix="0" xfId="0">
      <alignment vertical="center" wrapText="1"/>
      <protection locked="0" hidden="0"/>
    </xf>
    <xf numFmtId="0" fontId="0" fillId="0" borderId="7" applyProtection="1" pivotButton="0" quotePrefix="0" xfId="0">
      <protection locked="0" hidden="0"/>
    </xf>
    <xf numFmtId="0" fontId="0" fillId="0" borderId="6" applyProtection="1" pivotButton="0" quotePrefix="0" xfId="0">
      <protection locked="0" hidden="0"/>
    </xf>
    <xf numFmtId="0" fontId="0" fillId="11" borderId="1" applyAlignment="1" applyProtection="1" pivotButton="0" quotePrefix="0" xfId="0">
      <alignment vertical="center"/>
      <protection locked="0" hidden="0"/>
    </xf>
    <xf numFmtId="0" fontId="0" fillId="0" borderId="7" pivotButton="0" quotePrefix="0" xfId="0"/>
    <xf numFmtId="166" fontId="9" fillId="5" borderId="1" applyAlignment="1" pivotButton="0" quotePrefix="0" xfId="0">
      <alignment horizontal="center" vertical="center"/>
    </xf>
    <xf numFmtId="166" fontId="10" fillId="6" borderId="1" applyAlignment="1" pivotButton="0" quotePrefix="0" xfId="0">
      <alignment horizontal="center" vertical="center"/>
    </xf>
    <xf numFmtId="164" fontId="10" fillId="6" borderId="1" applyAlignment="1" pivotButton="0" quotePrefix="0" xfId="0">
      <alignment horizontal="center" vertical="center"/>
    </xf>
    <xf numFmtId="0" fontId="10" fillId="6" borderId="1" applyAlignment="1" pivotButton="0" quotePrefix="0" xfId="0">
      <alignment horizontal="center" vertical="center" wrapText="1"/>
    </xf>
    <xf numFmtId="0" fontId="10" fillId="13" borderId="1" applyAlignment="1" pivotButton="0" quotePrefix="0" xfId="0">
      <alignment horizontal="left" vertical="center" wrapText="1"/>
    </xf>
    <xf numFmtId="4" fontId="10" fillId="13" borderId="1" applyAlignment="1" pivotButton="0" quotePrefix="0" xfId="0">
      <alignment horizontal="center" vertical="center" wrapText="1"/>
    </xf>
    <xf numFmtId="3" fontId="10" fillId="13" borderId="1" applyAlignment="1" pivotButton="0" quotePrefix="0" xfId="0">
      <alignment horizontal="center" vertical="center" wrapText="1"/>
    </xf>
    <xf numFmtId="0" fontId="0" fillId="0" borderId="8" pivotButton="0" quotePrefix="0" xfId="0"/>
    <xf numFmtId="0" fontId="0" fillId="11" borderId="1" applyAlignment="1" applyProtection="1" pivotButton="0" quotePrefix="0" xfId="0">
      <alignment vertical="top" wrapText="1"/>
      <protection locked="0" hidden="0"/>
    </xf>
    <xf numFmtId="0" fontId="0" fillId="0" borderId="12" applyProtection="1" pivotButton="0" quotePrefix="0" xfId="0">
      <protection locked="0" hidden="0"/>
    </xf>
    <xf numFmtId="0" fontId="0" fillId="0" borderId="0" applyProtection="1" pivotButton="0" quotePrefix="0" xfId="0">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0" fontId="0" fillId="0" borderId="8" applyProtection="1" pivotButton="0" quotePrefix="0" xfId="0">
      <protection locked="0" hidden="0"/>
    </xf>
    <xf numFmtId="0" fontId="0" fillId="0" borderId="15" applyProtection="1" pivotButton="0" quotePrefix="0" xfId="0">
      <protection locked="0" hidden="0"/>
    </xf>
    <xf numFmtId="0" fontId="7" fillId="11" borderId="16" applyAlignment="1" applyProtection="1" pivotButton="0" quotePrefix="0" xfId="0">
      <alignment horizontal="left" vertical="center" wrapText="1"/>
      <protection locked="0" hidden="0"/>
    </xf>
    <xf numFmtId="0" fontId="7" fillId="11" borderId="1" applyAlignment="1" applyProtection="1" pivotButton="0" quotePrefix="0" xfId="0">
      <alignment horizontal="left" vertical="center" wrapText="1"/>
      <protection locked="0" hidden="0"/>
    </xf>
    <xf numFmtId="0" fontId="21" fillId="11" borderId="1" applyAlignment="1" applyProtection="1" pivotButton="0" quotePrefix="0" xfId="0">
      <alignment vertical="center"/>
      <protection locked="0" hidden="0"/>
    </xf>
  </cellXfs>
  <cellStyles count="1">
    <cellStyle name="Normal" xfId="0" builtinId="0"/>
  </cellStyles>
  <dxfs count="4">
    <dxf>
      <font>
        <color rgb="FF9C0006"/>
      </font>
      <fill>
        <patternFill patternType="solid">
          <fgColor indexed="64"/>
          <bgColor rgb="FFF8CBAD"/>
        </patternFill>
      </fill>
    </dxf>
    <dxf>
      <font>
        <color rgb="FF7F6000"/>
      </font>
      <fill>
        <patternFill patternType="solid">
          <fgColor indexed="64"/>
          <bgColor rgb="FFFFE699"/>
        </patternFill>
      </fill>
    </dxf>
    <dxf>
      <font>
        <color rgb="FF375623"/>
      </font>
      <fill>
        <patternFill patternType="solid">
          <fgColor indexed="64"/>
          <bgColor rgb="FFC6E0B4"/>
        </patternFill>
      </fill>
    </dxf>
    <dxf>
      <font>
        <color rgb="FF9C0006"/>
      </font>
      <fill>
        <patternFill patternType="solid">
          <fgColor indexed="64"/>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6E0B4"/>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8"/>
  <sheetViews>
    <sheetView showGridLines="0" topLeftCell="A19" zoomScaleNormal="100" workbookViewId="0">
      <selection activeCell="A1" sqref="A1"/>
    </sheetView>
  </sheetViews>
  <sheetFormatPr baseColWidth="8" defaultColWidth="8.6640625" defaultRowHeight="14.4"/>
  <cols>
    <col width="3" customWidth="1" style="128" min="1" max="1"/>
    <col width="27.77734375" customWidth="1" style="128" min="2" max="2"/>
    <col width="118.5546875" customWidth="1" style="128" min="3" max="3"/>
    <col width="3" customWidth="1" style="128" min="4" max="6"/>
  </cols>
  <sheetData>
    <row r="2" ht="30" customHeight="1" s="128">
      <c r="B2" s="5" t="inlineStr">
        <is>
          <t>MIRALEDO — Analiza cerintelor de ambalare, pe unitate si componente</t>
        </is>
      </c>
      <c r="C2" s="6" t="n"/>
    </row>
    <row r="3" ht="18" customHeight="1" s="128">
      <c r="B3" s="7" t="inlineStr">
        <is>
          <t>Ghid de completare — pentru MIRALEDO si pentru client</t>
        </is>
      </c>
      <c r="C3" s="4" t="n"/>
    </row>
    <row r="4" ht="7.95" customHeight="1" s="128">
      <c r="B4" s="4" t="n"/>
      <c r="C4" s="4" t="n"/>
    </row>
    <row r="5" ht="19.95" customHeight="1" s="128">
      <c r="B5" s="8" t="inlineStr">
        <is>
          <t>1. La ce foloseste acest fisier</t>
        </is>
      </c>
      <c r="C5" s="9" t="n"/>
    </row>
    <row r="6" ht="45.45" customHeight="1" s="128">
      <c r="B6" s="10" t="inlineStr">
        <is>
          <t>Scop</t>
        </is>
      </c>
      <c r="C6" s="11" t="inlineStr">
        <is>
          <t>Sa intelegem ce ambalaje folositi, din ce componente sunt facute, ce cere produsul de la ambalaj, ce utilaje aveti si cat de expus este ambalajul la noul Regulament european privind ambalajele (PPWR, Reg. UE 2025/40). Pe baza acestor informatii MIRALEDO poate propune imbunatatiri.</t>
        </is>
      </c>
    </row>
    <row r="7" ht="7.95" customHeight="1" s="128">
      <c r="B7" s="4" t="n"/>
      <c r="C7" s="4" t="n"/>
    </row>
    <row r="8" ht="19.95" customHeight="1" s="128">
      <c r="B8" s="8" t="inlineStr">
        <is>
          <t>2. Ideea de baza: unitatea de ambalaj</t>
        </is>
      </c>
      <c r="C8" s="9" t="n"/>
    </row>
    <row r="9" ht="31.95" customHeight="1" s="128">
      <c r="B9" s="12" t="inlineStr">
        <is>
          <t>Ce este o unitate</t>
        </is>
      </c>
      <c r="C9" s="4" t="inlineStr">
        <is>
          <t>Analiza porneste de la UNITATEA DE AMBALAJ, nu de la produs. O unitate este configuratia fizica completa a ambalajului, de exemplu: flacon sticla + capac PP + eticheta.</t>
        </is>
      </c>
    </row>
    <row r="10" ht="45.45" customHeight="1" s="128">
      <c r="B10" s="15" t="inlineStr">
        <is>
          <t>Mai multe produse</t>
        </is>
      </c>
      <c r="C10" s="16" t="inlineStr">
        <is>
          <t>Aceeasi unitate poate fi folosita pentru mai multe produse (SKU-uri), de exemplu acelasi flacon pentru o crema si pentru un ser. In acest caz se face o singura fisa, iar produsele se trec in lista din sectiunea 2 a fisei.</t>
        </is>
      </c>
    </row>
    <row r="11" ht="45.45" customHeight="1" s="128">
      <c r="B11" s="13" t="inlineStr">
        <is>
          <t>Componente</t>
        </is>
      </c>
      <c r="C11" s="14" t="inlineStr">
        <is>
          <t>Fiecare unitate are mai multe componente (flacon, capac, eticheta etc.). Fiecare componenta se descrie separat: material, culoare, greutate, % reciclabil, % continut reciclat, furnizor, pret, tara de origine.</t>
        </is>
      </c>
    </row>
    <row r="12" ht="7.95" customHeight="1" s="128">
      <c r="B12" s="4" t="n"/>
      <c r="C12" s="4" t="n"/>
    </row>
    <row r="13" ht="19.95" customHeight="1" s="128">
      <c r="B13" s="8" t="inlineStr">
        <is>
          <t>3. Ce contine fisierul</t>
        </is>
      </c>
      <c r="C13" s="9" t="n"/>
    </row>
    <row r="14" ht="18.45" customHeight="1" s="128">
      <c r="B14" s="12" t="inlineStr">
        <is>
          <t>Info Companie</t>
        </is>
      </c>
      <c r="C14" s="4" t="inlineStr">
        <is>
          <t>Date generale despre companie si persoana de contact. Se completeaza o singura data.</t>
        </is>
      </c>
    </row>
    <row r="15" ht="31.95" customHeight="1" s="128">
      <c r="B15" s="15" t="inlineStr">
        <is>
          <t>Unitati Ambalaj</t>
        </is>
      </c>
      <c r="C15" s="16" t="inlineStr">
        <is>
          <t>Lista tuturor unitatilor de ambalaj (un rand = o unitate). Greutatea totala, % reciclabil si clasa se preiau automat din fisa fiecarei unitati.</t>
        </is>
      </c>
    </row>
    <row r="16" ht="18.45" customHeight="1" s="128">
      <c r="B16" s="15" t="inlineStr">
        <is>
          <t>Fisa Unitate (Template)</t>
        </is>
      </c>
      <c r="C16" s="16" t="inlineStr">
        <is>
          <t>Model gol al unei fise. Nu se completeaza direct: se copiaza pentru fiecare unitate noua.</t>
        </is>
      </c>
    </row>
    <row r="17" ht="31.95" customHeight="1" s="128">
      <c r="B17" s="15" t="inlineStr">
        <is>
          <t>Unitate 1, Unitate 2, ...</t>
        </is>
      </c>
      <c r="C17" s="16" t="inlineStr">
        <is>
          <t>Fisele unitatilor, cate una per unitate. 'Unitate 1' contine un exemplu fictiv (text gri, italic), ca model de completare.</t>
        </is>
      </c>
    </row>
    <row r="18" ht="31.95" customHeight="1" s="128">
      <c r="B18" s="13" t="inlineStr">
        <is>
          <t>Sectiunile unei fise</t>
        </is>
      </c>
      <c r="C18" s="14" t="inlineStr">
        <is>
          <t>1. Identificare unitate | 2. Produse/SKU-uri | 3. Componente (cu calcul automat) | 4. Cerintele produsului | 5. Procesul de ambalare si utilajele | 6. Analiza de risc PPWR | 7. Comercial si pasi urmatori.</t>
        </is>
      </c>
    </row>
    <row r="19" ht="7.95" customHeight="1" s="128">
      <c r="B19" s="4" t="n"/>
      <c r="C19" s="4" t="n"/>
    </row>
    <row r="20" ht="19.95" customHeight="1" s="128">
      <c r="B20" s="8" t="inlineStr">
        <is>
          <t>4. Cum se completeaza</t>
        </is>
      </c>
      <c r="C20" s="9" t="n"/>
    </row>
    <row r="21" ht="18.45" customHeight="1" s="128">
      <c r="B21" s="12" t="inlineStr">
        <is>
          <t>Pasul 1</t>
        </is>
      </c>
      <c r="C21" s="4" t="inlineStr">
        <is>
          <t>Info Companie: completati datele companiei si ale persoanei de contact.</t>
        </is>
      </c>
    </row>
    <row r="22" ht="45.45" customHeight="1" s="128">
      <c r="B22" s="15" t="inlineStr">
        <is>
          <t>Pasul 2</t>
        </is>
      </c>
      <c r="C22" s="16" t="inlineStr">
        <is>
          <t>In fisa unitatii, sectiunea 1: denumirea, capacitatea, dimensiunile si documentele disponibile (fisa tehnica, desen, poze). Sectiunea 2: produsele/SKU-urile care o folosesc, cu volumul anual (numar, buc/an) si frecventa comenzilor.</t>
        </is>
      </c>
    </row>
    <row r="23" ht="58.95" customHeight="1" s="128">
      <c r="B23" s="15" t="inlineStr">
        <is>
          <t>Pasul 3</t>
        </is>
      </c>
      <c r="C23" s="16" t="inlineStr">
        <is>
          <t>Sectiunea 3: un rand pentru fiecare componenta. Greutatea se scrie in grame, pretul in EUR / 1000 buc (numere), iar procentele ca procent (ex: 60%). '% continut reciclat' se completeaza doar pentru componentele din plastic. La greutate, % reciclabil si pret lasati celula goala daca nu stiti valoarea; in celelalte coloane puteti scrie 'de confirmat'.</t>
        </is>
      </c>
    </row>
    <row r="24" ht="45.45" customHeight="1" s="128">
      <c r="B24" s="15" t="inlineStr">
        <is>
          <t>Pasul 4</t>
        </is>
      </c>
      <c r="C24" s="16" t="inlineStr">
        <is>
          <t>Sectiunile 4 si 5: categoria produsului (alimentar / farma / cosmetic / supliment), functiile cerute ambalajului, cerintele produsului (oxigen, lumina, umiditate, temperaturi, shelf-life) si utilajele de pe linie (viteza, umplere, inchidere, cod gat, etichetare).</t>
        </is>
      </c>
    </row>
    <row r="25" ht="31.95" customHeight="1" s="128">
      <c r="B25" s="15" t="inlineStr">
        <is>
          <t>Pasul 5</t>
        </is>
      </c>
      <c r="C25" s="16" t="inlineStr">
        <is>
          <t>Sectiunea 6 (risc PPWR) se completeaza impreuna cu MIRALEDO. Sectiunea 7 (comercial) este interna MIRALEDO si nu trebuie completata de client.</t>
        </is>
      </c>
    </row>
    <row r="26" ht="18.45" customHeight="1" s="128">
      <c r="B26" s="15" t="inlineStr">
        <is>
          <t>Pasul 6</t>
        </is>
      </c>
      <c r="C26" s="16" t="inlineStr">
        <is>
          <t>Verificati rezultatul din celulele verzi de sub tabelul de componente si trimiteti-ne fisierul.</t>
        </is>
      </c>
    </row>
    <row r="27" ht="31.95" customHeight="1" s="128">
      <c r="B27" s="17" t="inlineStr">
        <is>
          <t>Atentie</t>
        </is>
      </c>
      <c r="C27" s="18" t="inlineStr">
        <is>
          <t>O componenta cu greutate, dar fara % reciclabil, intra in calcul ca 0% reciclabil, deci rezultatul va fi mai mic decat in realitate.</t>
        </is>
      </c>
    </row>
    <row r="28" ht="7.95" customHeight="1" s="128">
      <c r="B28" s="4" t="n"/>
      <c r="C28" s="4" t="n"/>
    </row>
    <row r="29" ht="19.95" customHeight="1" s="128">
      <c r="B29" s="8" t="inlineStr">
        <is>
          <t>5. Cum se calculeaza reciclabilitatea</t>
        </is>
      </c>
      <c r="C29" s="9" t="n"/>
    </row>
    <row r="30" ht="18.45" customHeight="1" s="128">
      <c r="B30" s="12" t="inlineStr">
        <is>
          <t>Masa reciclabila</t>
        </is>
      </c>
      <c r="C30" s="4" t="inlineStr">
        <is>
          <t>Pentru fiecare componenta: greutate (g) x % reciclabil.</t>
        </is>
      </c>
    </row>
    <row r="31" ht="18.45" customHeight="1" s="128">
      <c r="B31" s="15" t="inlineStr">
        <is>
          <t>Total unitate</t>
        </is>
      </c>
      <c r="C31" s="16" t="inlineStr">
        <is>
          <t>Se aduna greutatile si masele reciclabile ale tuturor componentelor.</t>
        </is>
      </c>
    </row>
    <row r="32" ht="18.45" customHeight="1" s="128">
      <c r="B32" s="15" t="inlineStr">
        <is>
          <t>% reciclabil ponderat</t>
        </is>
      </c>
      <c r="C32" s="16" t="inlineStr">
        <is>
          <t>Masa reciclabila totala / greutatea totala. Calculul se face pe greutate, la nivel de unitate de ambalaj.</t>
        </is>
      </c>
    </row>
    <row r="33" ht="31.95" customHeight="1" s="128">
      <c r="B33" s="15" t="inlineStr">
        <is>
          <t>Clasa de reciclabilitate</t>
        </is>
      </c>
      <c r="C33" s="16" t="inlineStr">
        <is>
          <t>A = cel putin 95%  |  B = cel putin 80%  |  C = cel putin 70%  |  sub 70% = nereciclabil (nu exista clasa D).</t>
        </is>
      </c>
    </row>
    <row r="34" ht="31.95" customHeight="1" s="128">
      <c r="B34" s="15" t="inlineStr">
        <is>
          <t>Exemplu ilustrativ</t>
        </is>
      </c>
      <c r="C34" s="16" t="inlineStr">
        <is>
          <t>Flacon 85 g cu 100% reciclabil + capac 12 g cu 60% + eticheta 1,5 g cu 0% = 92,2 g reciclabil din 98,5 g = 93,6% -&gt; clasa B.</t>
        </is>
      </c>
    </row>
    <row r="35" ht="31.95" customHeight="1" s="128">
      <c r="B35" s="15" t="inlineStr">
        <is>
          <t>Culoarea componentei</t>
        </is>
      </c>
      <c r="C35" s="16" t="inlineStr">
        <is>
          <t>Culorile pe baza de negru de fum nu sunt detectate de sortarea optica (NIR) si pot face componenta nereciclabila in practica. Daca este cazul, notati in coloana 'Observatii / risc' si ajustati % reciclabil.</t>
        </is>
      </c>
    </row>
    <row r="36" ht="45.45" customHeight="1" s="128">
      <c r="B36" s="17" t="inlineStr">
        <is>
          <t>Important</t>
        </is>
      </c>
      <c r="C36" s="18" t="inlineStr">
        <is>
          <t>Clasa este o evaluare comerciala interna MIRALEDO, bazata pe datele completate. Nu este o certificare oficiala: PPWR nu prevede asa ceva. Conformitatea se demonstreaza prin documentatie tehnica si declaratie de conformitate.</t>
        </is>
      </c>
    </row>
    <row r="37" ht="7.95" customHeight="1" s="128">
      <c r="B37" s="4" t="n"/>
      <c r="C37" s="4" t="n"/>
    </row>
    <row r="38" ht="19.95" customHeight="1" s="128">
      <c r="B38" s="8" t="inlineStr">
        <is>
          <t>6. Legenda culori</t>
        </is>
      </c>
      <c r="C38" s="9" t="n"/>
    </row>
    <row r="39" ht="18.45" customHeight="1" s="128">
      <c r="B39" s="19" t="inlineStr">
        <is>
          <t>Galben</t>
        </is>
      </c>
      <c r="C39" s="4" t="inlineStr">
        <is>
          <t>Celula de completat manual.</t>
        </is>
      </c>
    </row>
    <row r="40" ht="18.45" customHeight="1" s="128">
      <c r="B40" s="20" t="inlineStr">
        <is>
          <t>Verde deschis</t>
        </is>
      </c>
      <c r="C40" s="16" t="inlineStr">
        <is>
          <t>Celula calculata automat (formula) - nu se completeaza.</t>
        </is>
      </c>
    </row>
    <row r="41" ht="18.45" customHeight="1" s="128">
      <c r="B41" s="21" t="inlineStr">
        <is>
          <t>Verde intens</t>
        </is>
      </c>
      <c r="C41" s="16" t="inlineStr">
        <is>
          <t>Rezultatul final al calculului de reciclabilitate al unitatii.</t>
        </is>
      </c>
    </row>
    <row r="42" ht="18.45" customHeight="1" s="128">
      <c r="B42" s="22" t="inlineStr">
        <is>
          <t>Text gri, italic</t>
        </is>
      </c>
      <c r="C42" s="23" t="inlineStr">
        <is>
          <t>Exemplu fictiv - se inlocuieste cu date reale.</t>
        </is>
      </c>
    </row>
    <row r="43" ht="7.95" customHeight="1" s="128">
      <c r="B43" s="4" t="n"/>
      <c r="C43" s="4" t="n"/>
    </row>
    <row r="44" ht="19.95" customHeight="1" s="128">
      <c r="B44" s="8" t="inlineStr">
        <is>
          <t>7. Cum adaugati o unitate noua</t>
        </is>
      </c>
      <c r="C44" s="9" t="n"/>
    </row>
    <row r="45" ht="31.95" customHeight="1" s="128">
      <c r="B45" s="12" t="inlineStr">
        <is>
          <t>Pasul 1</t>
        </is>
      </c>
      <c r="C45" s="4" t="inlineStr">
        <is>
          <t>Click dreapta pe eticheta sheet-ului 'Fisa Unitate (Template)' -&gt; Move or Copy -&gt; bifati 'Create a copy' -&gt; OK. Redenumiti copia (ex: 'Unitate 3').</t>
        </is>
      </c>
    </row>
    <row r="46" ht="18.45" customHeight="1" s="128">
      <c r="B46" s="15" t="inlineStr">
        <is>
          <t>Pasul 2</t>
        </is>
      </c>
      <c r="C46" s="16" t="inlineStr">
        <is>
          <t>Completati fisa copiata, sectiunile 1-7.</t>
        </is>
      </c>
    </row>
    <row r="47" ht="45.45" customHeight="1" s="128">
      <c r="B47" s="15" t="inlineStr">
        <is>
          <t>Pasul 3</t>
        </is>
      </c>
      <c r="C47" s="16" t="inlineStr">
        <is>
          <t>In 'Unitati Ambalaj', pe primul rand liber, scrieti denumirea, produsele/SKU-urile si, in coloana 'Sheet analiza', numele EXACT al sheet-ului (ex: Unitate 3). Greutatea, % reciclabil si clasa apar automat.</t>
        </is>
      </c>
    </row>
    <row r="48" ht="58.95" customHeight="1" s="128">
      <c r="B48" s="17" t="inlineStr">
        <is>
          <t>Nu modificati structura</t>
        </is>
      </c>
      <c r="C48" s="18" t="inlineStr">
        <is>
          <t>Fisele de unitate sunt protejate (fara parola): se pot completa doar celulele galbene. Nu inserati, nu stergeti si nu mutati randuri in fisa unitatii, mai ales in sectiunea 3: rezultatele depind de pozitia celulelor. Fisa are 8 randuri pentru componente, iar lista 'Unitati Ambalaj' are loc pentru 10 unitati. Daca aveti nevoie de mai multe, contactati MIRALEDO.</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D29"/>
  <sheetViews>
    <sheetView showGridLines="0" topLeftCell="A19" zoomScaleNormal="100" workbookViewId="0">
      <selection activeCell="B29" sqref="B29"/>
    </sheetView>
  </sheetViews>
  <sheetFormatPr baseColWidth="8" defaultColWidth="8.6640625" defaultRowHeight="14.4"/>
  <cols>
    <col width="3" customWidth="1" style="128" min="1" max="1"/>
    <col width="60.44140625" customWidth="1" style="128" min="2" max="2"/>
    <col width="20" customWidth="1" style="128" min="3" max="3"/>
    <col width="86.5546875" customWidth="1" style="128" min="4" max="4"/>
    <col width="3" customWidth="1" style="128" min="5" max="5"/>
  </cols>
  <sheetData>
    <row r="2" ht="27.75" customHeight="1" s="128">
      <c r="B2" s="81" t="inlineStr">
        <is>
          <t>Informatii generale despre companie</t>
        </is>
      </c>
    </row>
    <row r="4" ht="19.5" customHeight="1" s="128">
      <c r="B4" s="80" t="inlineStr">
        <is>
          <t>Date de identificare</t>
        </is>
      </c>
    </row>
    <row r="5" ht="18" customHeight="1" s="128">
      <c r="B5" s="2" t="inlineStr">
        <is>
          <t>Denumire companie</t>
        </is>
      </c>
      <c r="C5" s="130" t="inlineStr">
        <is>
          <t>SC Alevia SRL</t>
        </is>
      </c>
      <c r="D5" s="131" t="n"/>
    </row>
    <row r="6" ht="18" customHeight="1" s="128">
      <c r="B6" s="2" t="inlineStr">
        <is>
          <t>CUI / Cod fiscal</t>
        </is>
      </c>
      <c r="C6" s="130" t="inlineStr">
        <is>
          <t>RO6283577</t>
        </is>
      </c>
      <c r="D6" s="131" t="n"/>
    </row>
    <row r="7" ht="18" customHeight="1" s="128">
      <c r="B7" s="2" t="inlineStr">
        <is>
          <t>Adresa sediu</t>
        </is>
      </c>
      <c r="C7" s="130" t="inlineStr">
        <is>
          <t>Str. Ana Ipatescu nr. 9, Falticeni, jud. Suceava</t>
        </is>
      </c>
      <c r="D7" s="131" t="n"/>
    </row>
    <row r="8" ht="18" customHeight="1" s="128">
      <c r="B8" s="2" t="inlineStr">
        <is>
          <t>Adresa punct de productie (daca difera)</t>
        </is>
      </c>
      <c r="C8" s="130" t="inlineStr">
        <is>
          <t>Fabrica proprie in Falticeni (adresa de confirmat)</t>
        </is>
      </c>
      <c r="D8" s="131" t="n"/>
    </row>
    <row r="9" ht="18" customHeight="1" s="128">
      <c r="B9" s="2" t="inlineStr">
        <is>
          <t>Website</t>
        </is>
      </c>
      <c r="C9" s="130" t="inlineStr">
        <is>
          <t>www.alevia.ro</t>
        </is>
      </c>
      <c r="D9" s="131" t="n"/>
    </row>
    <row r="10" ht="18" customHeight="1" s="128">
      <c r="B10" s="2" t="inlineStr">
        <is>
          <t>Domeniu de activitate / Industrie</t>
        </is>
      </c>
      <c r="C10" s="130" t="inlineStr">
        <is>
          <t>Suplimente alimentare, ceaiuri, creme si balsamuri, produse alimentare naturale</t>
        </is>
      </c>
      <c r="D10" s="131" t="n"/>
    </row>
    <row r="12" ht="19.5" customHeight="1" s="128">
      <c r="B12" s="80" t="inlineStr">
        <is>
          <t>Persoana de contact</t>
        </is>
      </c>
    </row>
    <row r="13" ht="18" customHeight="1" s="128">
      <c r="B13" s="2" t="inlineStr">
        <is>
          <t>Nume si prenume</t>
        </is>
      </c>
      <c r="C13" s="130" t="n"/>
      <c r="D13" s="131" t="n"/>
    </row>
    <row r="14" ht="18" customHeight="1" s="128">
      <c r="B14" s="2" t="inlineStr">
        <is>
          <t>Functie</t>
        </is>
      </c>
      <c r="C14" s="130" t="n"/>
      <c r="D14" s="131" t="n"/>
    </row>
    <row r="15" ht="18" customHeight="1" s="128">
      <c r="B15" s="2" t="inlineStr">
        <is>
          <t>Email</t>
        </is>
      </c>
      <c r="C15" s="130" t="n"/>
      <c r="D15" s="131" t="n"/>
    </row>
    <row r="16" ht="18" customHeight="1" s="128">
      <c r="B16" s="2" t="inlineStr">
        <is>
          <t>Telefon</t>
        </is>
      </c>
      <c r="C16" s="130" t="n"/>
      <c r="D16" s="131" t="n"/>
    </row>
    <row r="18" ht="19.5" customHeight="1" s="128">
      <c r="B18" s="80" t="inlineStr">
        <is>
          <t>Profil comercial si de productie</t>
        </is>
      </c>
    </row>
    <row r="19" ht="18" customHeight="1" s="128">
      <c r="B19" s="2" t="inlineStr">
        <is>
          <t>Piete de desfacere (Romania / export)</t>
        </is>
      </c>
      <c r="C19" s="130" t="inlineStr">
        <is>
          <t>De confirmat</t>
        </is>
      </c>
      <c r="D19" s="131" t="n"/>
    </row>
    <row r="20" ht="18" customHeight="1" s="128">
      <c r="B20" s="2" t="inlineStr">
        <is>
          <t>Volum anual de productie estimat (toate produsele)</t>
        </is>
      </c>
      <c r="C20" s="130" t="inlineStr">
        <is>
          <t>De confirmat</t>
        </is>
      </c>
      <c r="D20" s="131" t="n"/>
    </row>
    <row r="21" ht="19.2" customHeight="1" s="128">
      <c r="B21" s="2" t="inlineStr">
        <is>
          <t>Nr. aproximativ de produse/SKU-uri si de unitati de ambalaj diferite</t>
        </is>
      </c>
      <c r="C21" s="130" t="inlineStr">
        <is>
          <t>365 produse pe alevia.ro (28.10.2026); 40 unitati de ambalaj identificate pana acum</t>
        </is>
      </c>
      <c r="D21" s="131" t="n"/>
    </row>
    <row r="22" ht="17.4" customHeight="1" s="128">
      <c r="B22" s="2" t="inlineStr">
        <is>
          <t>Certificari companie (ISO, GMP, HACCP etc.)</t>
        </is>
      </c>
      <c r="C22" s="130" t="inlineStr">
        <is>
          <t>ISO 9001:2015, ISO 22000:2018, HACCP (mentionate pe alevia.ro)</t>
        </is>
      </c>
      <c r="D22" s="131" t="n"/>
    </row>
    <row r="23" ht="18" customHeight="1" s="128">
      <c r="B23" s="2" t="inlineStr">
        <is>
          <t>Cerinte de sustenabilitate / PPWR cunoscute</t>
        </is>
      </c>
      <c r="C23" s="130" t="inlineStr">
        <is>
          <t>De confirmat</t>
        </is>
      </c>
      <c r="D23" s="131" t="n"/>
    </row>
    <row r="24" ht="18" customHeight="1" s="128">
      <c r="B24" s="2" t="inlineStr">
        <is>
          <t>Mod actual de raportare EPR / Fond de Mediu</t>
        </is>
      </c>
      <c r="C24" s="130" t="inlineStr">
        <is>
          <t>De confirmat</t>
        </is>
      </c>
      <c r="D24" s="131" t="n"/>
    </row>
    <row r="26" ht="19.5" customHeight="1" s="128">
      <c r="B26" s="80" t="inlineStr">
        <is>
          <t>Administrativ</t>
        </is>
      </c>
    </row>
    <row r="27" ht="18.6" customHeight="1" s="128">
      <c r="B27" s="2" t="inlineStr">
        <is>
          <t>Data completarii</t>
        </is>
      </c>
      <c r="C27" s="130" t="inlineStr">
        <is>
          <t>28.10.2026</t>
        </is>
      </c>
      <c r="D27" s="131" t="n"/>
    </row>
    <row r="28" ht="18.6" customHeight="1" s="128">
      <c r="B28" s="2" t="inlineStr">
        <is>
          <t>Completat de (nume si companie)</t>
        </is>
      </c>
      <c r="C28" s="130" t="inlineStr">
        <is>
          <t>MIRALEDO (date preluate de pe alevia.ro)</t>
        </is>
      </c>
      <c r="D28" s="131" t="n"/>
    </row>
    <row r="29" ht="18.6" customHeight="1" s="128">
      <c r="B29" s="2" t="inlineStr">
        <is>
          <t>Persoana de contact MIRALEDO (nume, email, telefon)</t>
        </is>
      </c>
      <c r="C29" s="130" t="n"/>
      <c r="D29" s="131" t="n"/>
    </row>
  </sheetData>
  <mergeCells count="24">
    <mergeCell ref="C6:D6"/>
    <mergeCell ref="C24:D24"/>
    <mergeCell ref="C15:D15"/>
    <mergeCell ref="C5:D5"/>
    <mergeCell ref="C14:D14"/>
    <mergeCell ref="C20:D20"/>
    <mergeCell ref="C29:D29"/>
    <mergeCell ref="C10:D10"/>
    <mergeCell ref="C16:D16"/>
    <mergeCell ref="C22:D22"/>
    <mergeCell ref="C9:D9"/>
    <mergeCell ref="C21:D21"/>
    <mergeCell ref="C27:D27"/>
    <mergeCell ref="B4:D4"/>
    <mergeCell ref="B26:D26"/>
    <mergeCell ref="C23:D23"/>
    <mergeCell ref="C8:D8"/>
    <mergeCell ref="C7:D7"/>
    <mergeCell ref="C19:D19"/>
    <mergeCell ref="B18:D18"/>
    <mergeCell ref="C28:D28"/>
    <mergeCell ref="C13:D13"/>
    <mergeCell ref="B12:D12"/>
    <mergeCell ref="B2:D2"/>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2:N54"/>
  <sheetViews>
    <sheetView showGridLines="0" tabSelected="1" zoomScaleNormal="100" workbookViewId="0">
      <pane xSplit="3" ySplit="6" topLeftCell="D7" activePane="bottomRight" state="frozen"/>
      <selection pane="topRight"/>
      <selection pane="bottomLeft"/>
      <selection pane="bottomRight" activeCell="C1" sqref="C1"/>
      <selection pane="bottomLeft" activeCell="A7" sqref="A7"/>
      <selection pane="bottomRight" activeCell="B6" sqref="B6"/>
    </sheetView>
  </sheetViews>
  <sheetFormatPr baseColWidth="8" defaultColWidth="8.6640625" defaultRowHeight="14.4"/>
  <cols>
    <col width="3" customWidth="1" style="128" min="1" max="1"/>
    <col width="7.44140625" customWidth="1" style="128" min="2" max="2"/>
    <col width="35.21875" customWidth="1" style="128" min="3" max="3"/>
    <col width="16.6640625" customWidth="1" style="128" min="4" max="4"/>
    <col width="24.109375" customWidth="1" style="128" min="5" max="5"/>
    <col width="35.21875" customWidth="1" style="128" min="6" max="6"/>
    <col width="18.5546875" customWidth="1" style="128" min="7" max="7"/>
    <col width="15.77734375" customWidth="1" style="128" min="8" max="8"/>
    <col width="14.77734375" customWidth="1" style="128" min="9" max="9"/>
    <col width="19.44140625" customWidth="1" style="128" min="10" max="10"/>
    <col width="23.109375" customWidth="1" style="128" min="11" max="11"/>
    <col width="16.6640625" customWidth="1" style="128" min="12" max="12"/>
    <col width="31.44140625" customWidth="1" style="128" min="13" max="13"/>
  </cols>
  <sheetData>
    <row r="2" ht="27.75" customHeight="1" s="128">
      <c r="B2" s="129" t="inlineStr">
        <is>
          <t>Unitati de ambalaj — lista si rezumat</t>
        </is>
      </c>
      <c r="L2" s="34" t="n"/>
      <c r="M2" s="34" t="n"/>
    </row>
    <row r="4" ht="27.75" customHeight="1" s="128">
      <c r="B4" s="82" t="inlineStr">
        <is>
          <t>Fiecare linie = o unitate de ambalaj (o configuratie fizica de componente). Detalierea completa (componente, cerinte, risc PPWR, comercial) se face in sheet-ul scris la 'Sheet analiza'. Coloanele galbene se completeaza; coloanele verzi se preiau automat din acel sheet. Daca numele sheet-ului este gresit, celula devine rosie.</t>
        </is>
      </c>
    </row>
    <row r="6" ht="45" customHeight="1" s="128">
      <c r="B6" s="3" t="inlineStr">
        <is>
          <t>Nr.</t>
        </is>
      </c>
      <c r="C6" s="3" t="inlineStr">
        <is>
          <t>Denumire unitate (pe baza componentelor)</t>
        </is>
      </c>
      <c r="D6" s="3" t="inlineStr">
        <is>
          <t>Volum ambalaj (ml / g)</t>
        </is>
      </c>
      <c r="E6" s="3" t="inlineStr">
        <is>
          <t>Culoare</t>
        </is>
      </c>
      <c r="F6" s="3" t="inlineStr">
        <is>
          <t>Produse / SKU-uri care o folosesc</t>
        </is>
      </c>
      <c r="G6" s="3" t="inlineStr">
        <is>
          <t>Sheet analiza (nume exact)</t>
        </is>
      </c>
      <c r="H6" s="3" t="inlineStr">
        <is>
          <t>Greutate totala (g)</t>
        </is>
      </c>
      <c r="I6" s="3" t="inlineStr">
        <is>
          <t>% reciclabil</t>
        </is>
      </c>
      <c r="J6" s="3" t="inlineStr">
        <is>
          <t>Clasa reciclabilitate</t>
        </is>
      </c>
      <c r="K6" s="3" t="inlineStr">
        <is>
          <t>Prioritate (Mare / Medie / Mica)</t>
        </is>
      </c>
      <c r="L6" s="3" t="inlineStr">
        <is>
          <t>Stadiu analiza</t>
        </is>
      </c>
      <c r="M6" s="3" t="inlineStr">
        <is>
          <t>Observatii</t>
        </is>
      </c>
    </row>
    <row r="7" s="128">
      <c r="B7" s="132" t="n">
        <v>1</v>
      </c>
      <c r="C7" s="133" t="inlineStr">
        <is>
          <t>Blister comprimate masticabile (in cutie)</t>
        </is>
      </c>
      <c r="D7" s="133" t="inlineStr">
        <is>
          <t>De confirmat</t>
        </is>
      </c>
      <c r="E7" s="133" t="inlineStr">
        <is>
          <t>De confirmat</t>
        </is>
      </c>
      <c r="F7" s="133" t="inlineStr">
        <is>
          <t>Propolis Vitamina C cu Echinacea Blister 20 comprimate masticabile; Vitamina C cu pulpă de măceșe cu stevie Blister 30 comprimate masticabile</t>
        </is>
      </c>
      <c r="G7" s="132" t="n"/>
      <c r="H7" s="134">
        <f>IFERROR(INDIRECT("'"&amp;G7&amp;"'!E26"),"")</f>
        <v/>
      </c>
      <c r="I7" s="135">
        <f>IFERROR(INDIRECT("'"&amp;G7&amp;"'!E27"),"")</f>
        <v/>
      </c>
      <c r="J7" s="136">
        <f>IFERROR(INDIRECT("'"&amp;G7&amp;"'!E28"),"")</f>
        <v/>
      </c>
      <c r="K7" s="137" t="n"/>
      <c r="L7" s="137" t="inlineStr">
        <is>
          <t>In curs</t>
        </is>
      </c>
      <c r="M7" s="138" t="n"/>
    </row>
    <row r="8" s="128">
      <c r="B8" s="132" t="n">
        <v>2</v>
      </c>
      <c r="C8" s="133" t="inlineStr">
        <is>
          <t>Blister comprimate (in cutie)</t>
        </is>
      </c>
      <c r="D8" s="133" t="inlineStr">
        <is>
          <t>De confirmat</t>
        </is>
      </c>
      <c r="E8" s="133" t="inlineStr">
        <is>
          <t>De confirmat</t>
        </is>
      </c>
      <c r="F8" s="133" t="inlineStr">
        <is>
          <t>Montant Manșon 10 comprimate; Silfide Complex de slăbit forte Blister 20 comprimate</t>
        </is>
      </c>
      <c r="G8" s="132" t="n"/>
      <c r="H8" s="134">
        <f>IFERROR(INDIRECT("'"&amp;G8&amp;"'!E26"),"")</f>
        <v/>
      </c>
      <c r="I8" s="135">
        <f>IFERROR(INDIRECT("'"&amp;G8&amp;"'!E27"),"")</f>
        <v/>
      </c>
      <c r="J8" s="136">
        <f>IFERROR(INDIRECT("'"&amp;G8&amp;"'!E28"),"")</f>
        <v/>
      </c>
      <c r="K8" s="137" t="n"/>
      <c r="L8" s="137" t="inlineStr">
        <is>
          <t>In curs</t>
        </is>
      </c>
      <c r="M8" s="138" t="n"/>
    </row>
    <row r="9" s="128">
      <c r="B9" s="132" t="n">
        <v>3</v>
      </c>
      <c r="C9" s="133" t="inlineStr">
        <is>
          <t>Ambalaj interior capsule moi in cutie (blister sau flacon, de confirmat)</t>
        </is>
      </c>
      <c r="D9" s="133" t="inlineStr">
        <is>
          <t>De confirmat</t>
        </is>
      </c>
      <c r="E9" s="133" t="inlineStr">
        <is>
          <t>De confirmat</t>
        </is>
      </c>
      <c r="F9" s="133" t="inlineStr">
        <is>
          <t>Lecitina 1200mg 30 capsule moi; Omega 3 6 9 40 capsule moi; Omega 3 Forte 30 capsule moi; Silymarin Milk thistle 1000mg 30 capsule moi; Ulei de pește Omega 3 30 capsule moi</t>
        </is>
      </c>
      <c r="G9" s="132" t="n"/>
      <c r="H9" s="134">
        <f>IFERROR(INDIRECT("'"&amp;G9&amp;"'!E26"),"")</f>
        <v/>
      </c>
      <c r="I9" s="135">
        <f>IFERROR(INDIRECT("'"&amp;G9&amp;"'!E27"),"")</f>
        <v/>
      </c>
      <c r="J9" s="136">
        <f>IFERROR(INDIRECT("'"&amp;G9&amp;"'!E28"),"")</f>
        <v/>
      </c>
      <c r="K9" s="137" t="n"/>
      <c r="L9" s="137" t="inlineStr">
        <is>
          <t>In curs</t>
        </is>
      </c>
      <c r="M9" s="138" t="n"/>
    </row>
    <row r="10" s="128">
      <c r="B10" s="132" t="n">
        <v>4</v>
      </c>
      <c r="C10" s="133" t="inlineStr">
        <is>
          <t>Ambalaj interior capsule vegetale in cutie (blister sau flacon, de confirmat)</t>
        </is>
      </c>
      <c r="D10" s="133" t="inlineStr">
        <is>
          <t>De confirmat</t>
        </is>
      </c>
      <c r="E10" s="133" t="inlineStr">
        <is>
          <t>De confirmat</t>
        </is>
      </c>
      <c r="F10" s="133" t="inlineStr">
        <is>
          <t>5-HTP plus 30 capsule vegetale; Adaptonic 20 capsule vegetale; Adaptonic Pachet 20+20 capsule vegetale; Articlar Colagen 30 capsule vegetale; Coenzima Q10 120mg 40 capsule vegetale; Coenzima Q10 200mg Intensiv 30 capsule vegetale; Coenzima Q10 60mg 30 capsule vegetale; Coenzima Q10 Complex 30 capsule vegetale; Detenso Calm 20 capsule vegetale; Detenso Somn 30 capsule vegetale; Detoxi complet 30 capsule vegetale; Femena Meno 30 capsule vegetale; Femena Meno Pachet 30+30 capsule vegetale; Femena Osteo 30 capsule vegetale; Ginkgo biloba cu Magneziu 60 capsule vegetale; Magne 5 30 capsule vegetale; Memo Clar 60 capsule vegetale; Neuro Clar 60 capsule vegetale; Nutrinergic 30 capsule vegetale; Nutrinergic Pachet 30+30 capsule vegetale; Păr și unghii 60 capsule vegetale; Păr și Unghii Pachet 60+60 capsule vegetale; Resveratrol sincro 30 capsule vegetale; Silfide Complex de slăbit forte + Fucoidan 60 capsule vegetale; Silfide Complex de slăbit forte + Fucoidan Pachet 60+60 capsule vegetale</t>
        </is>
      </c>
      <c r="G10" s="132" t="n"/>
      <c r="H10" s="134">
        <f>IFERROR(INDIRECT("'"&amp;G10&amp;"'!E26"),"")</f>
        <v/>
      </c>
      <c r="I10" s="135">
        <f>IFERROR(INDIRECT("'"&amp;G10&amp;"'!E27"),"")</f>
        <v/>
      </c>
      <c r="J10" s="136">
        <f>IFERROR(INDIRECT("'"&amp;G10&amp;"'!E28"),"")</f>
        <v/>
      </c>
      <c r="K10" s="137" t="n"/>
      <c r="L10" s="137" t="inlineStr">
        <is>
          <t>In curs</t>
        </is>
      </c>
      <c r="M10" s="138" t="n"/>
    </row>
    <row r="11" s="128">
      <c r="B11" s="132" t="n">
        <v>5</v>
      </c>
      <c r="C11" s="133" t="inlineStr">
        <is>
          <t>Ambalaj interior comprimate in cutie (blister sau flacon, de confirmat)</t>
        </is>
      </c>
      <c r="D11" s="133" t="inlineStr">
        <is>
          <t>De confirmat</t>
        </is>
      </c>
      <c r="E11" s="133" t="inlineStr">
        <is>
          <t>De confirmat</t>
        </is>
      </c>
      <c r="F11" s="133" t="inlineStr">
        <is>
          <t>Antistres 30 comprimate; Articlar forte 60 comprimate; Articlar Forte Pachet 60+60 comprimate; Atusin 20 comprimate; Calciu D3 masticabil 30 comprimate; Colesterol control 60 comprimate; Complex B forte 100 comprimate; Complex menopauză 30 comprimate; Control diab 60 comprimate; Curcumin 95% curcuminoide 60 comprimate; Curcumin 95% Curcuminoide Pachet 60 + 60 comprimate; Heparepar 30 comprimate; Imunio 30 comprimate; Masculin Potent 30 comprimate; Masculin Potent 30 comprimate + Ginseng siberian 30 capsule vegetale; Memorie și concentrare 30 comprimate; Montant 30 comprimate; Montant Pachet 30+30 comprimate; Optimicin 20 comprimate; Silfide Complex de slăbit forte 100 comprimate; Silfide Complex de slăbit forte 100 comprimate + Ceai de slăbit 30 plicuri; Silfide Detox 30 comprimate; Silimarină 150mg 50 comprimate; Silimarină 300mg 50 comprimate; Silimarină 300mg Pachet 50+50 comprimate; Stres Formula 30 comprimate; Vitamine și multiminerale 30 comprimate</t>
        </is>
      </c>
      <c r="G11" s="132" t="n"/>
      <c r="H11" s="134">
        <f>IFERROR(INDIRECT("'"&amp;G11&amp;"'!E26"),"")</f>
        <v/>
      </c>
      <c r="I11" s="135">
        <f>IFERROR(INDIRECT("'"&amp;G11&amp;"'!E27"),"")</f>
        <v/>
      </c>
      <c r="J11" s="136">
        <f>IFERROR(INDIRECT("'"&amp;G11&amp;"'!E28"),"")</f>
        <v/>
      </c>
      <c r="K11" s="137" t="n"/>
      <c r="L11" s="137" t="inlineStr">
        <is>
          <t>In curs</t>
        </is>
      </c>
      <c r="M11" s="138" t="n"/>
    </row>
    <row r="12" s="128">
      <c r="B12" s="132" t="n">
        <v>6</v>
      </c>
      <c r="C12" s="133" t="inlineStr">
        <is>
          <t>Ambalaj interior comprimate masticabile in cutie (blister sau flacon, de confirmat)</t>
        </is>
      </c>
      <c r="D12" s="133" t="inlineStr">
        <is>
          <t>De confirmat</t>
        </is>
      </c>
      <c r="E12" s="133" t="inlineStr">
        <is>
          <t>De confirmat</t>
        </is>
      </c>
      <c r="F12" s="133" t="inlineStr">
        <is>
          <t>Complex gastric 30 comprimate masticabile; Florisept 20 comprimate masticabile; Propolis C-tare 30 comprimate masticabile; Propolis Vitamina C cu Echinacea și stevie 40 comprimate masticabile</t>
        </is>
      </c>
      <c r="G12" s="132" t="n"/>
      <c r="H12" s="134">
        <f>IFERROR(INDIRECT("'"&amp;G12&amp;"'!E26"),"")</f>
        <v/>
      </c>
      <c r="I12" s="135">
        <f>IFERROR(INDIRECT("'"&amp;G12&amp;"'!E27"),"")</f>
        <v/>
      </c>
      <c r="J12" s="136">
        <f>IFERROR(INDIRECT("'"&amp;G12&amp;"'!E28"),"")</f>
        <v/>
      </c>
      <c r="K12" s="137" t="n"/>
      <c r="L12" s="137" t="inlineStr">
        <is>
          <t>In curs</t>
        </is>
      </c>
      <c r="M12" s="138" t="n"/>
    </row>
    <row r="13" s="128">
      <c r="B13" s="132" t="n">
        <v>7</v>
      </c>
      <c r="C13" s="133" t="inlineStr">
        <is>
          <t>Flacon capsule/comprimate + capac (eticheta 215x57 mm)</t>
        </is>
      </c>
      <c r="D13" s="133" t="inlineStr">
        <is>
          <t>De confirmat</t>
        </is>
      </c>
      <c r="E13" s="133" t="inlineStr">
        <is>
          <t>Alb (flacon si capac, din poza)</t>
        </is>
      </c>
      <c r="F13" s="133" t="inlineStr">
        <is>
          <t>Articlar Colagen 120 capsule vegetale; D3 + K2 Forte 120 capsule vegetale; Magneziu Bisglicinat 120 capsule vegetale; Magtein® 90 capsule vegetale; Seleniu Natural 200µg 120 comprimate filmate; Silymarin Milk thistle 1000mg 120 capsule moi; Ulei de pește Omega 3 120 capsule moi; Ulei de somon Omega 3 120 capsule moi; Vitamina B12 Optim 1000µg 120 comprimate; Vitamina C 1000mg 120 capsule vegetale; Vitamina C cu Zn și D3 1000mg 120 capsule vegetale</t>
        </is>
      </c>
      <c r="G13" s="132" t="n"/>
      <c r="H13" s="134">
        <f>IFERROR(INDIRECT("'"&amp;G13&amp;"'!E26"),"")</f>
        <v/>
      </c>
      <c r="I13" s="135">
        <f>IFERROR(INDIRECT("'"&amp;G13&amp;"'!E27"),"")</f>
        <v/>
      </c>
      <c r="J13" s="136">
        <f>IFERROR(INDIRECT("'"&amp;G13&amp;"'!E28"),"")</f>
        <v/>
      </c>
      <c r="K13" s="137" t="n"/>
      <c r="L13" s="137" t="inlineStr">
        <is>
          <t>In curs</t>
        </is>
      </c>
      <c r="M13" s="138" t="n"/>
    </row>
    <row r="14" s="128">
      <c r="B14" s="132" t="n">
        <v>8</v>
      </c>
      <c r="C14" s="133" t="inlineStr">
        <is>
          <t>Flacon capsule/comprimate + capac (eticheta 180x68 mm)</t>
        </is>
      </c>
      <c r="D14" s="133" t="inlineStr">
        <is>
          <t>De confirmat</t>
        </is>
      </c>
      <c r="E14" s="133" t="inlineStr">
        <is>
          <t>Alb (flacon si capac, din poza)</t>
        </is>
      </c>
      <c r="F14" s="133" t="inlineStr">
        <is>
          <t>Ca+D3 60 comprimate; Calciu Magneziu Zinc 100 comprimate; CaMgZn + Vitamina C 60 comprimate; Coenzima Q10 60mg 60 capsule vegetale; Coenzima Q10 cu Catină 60 comprimate; Ginkgo biloba 100mg 60 comprimate; Ginkgo biloba 100mg Pachet 60+60 comprimate; Lecitină 1200mg 60 capsule moi; Magneziu 375mg B6 120 capsule vegetale; Omega 3 6 9 60 capsule moi; Omega 3 6 9 Pachet 60+60 capsule moi; Silimarină 150mg 100 comprimate; Silimarină 300mg 100 comprimate; Silymarin Milk thistle 1000mg 60 capsule moi; Spirulină 500mg 200 comprimate; Spirulină Bio 1000mg 100 comprimate; Spirulină Bio 1000mg Pachet 100+100 comprimate; Ulei de pește Omega 3 70 capsule moi; Ulei de somon Omega 3 60 capsule moi; Vitamina D3 Optim 2000UI 120 capsule vegetale; Zinc Optim 25mg 120 capsule vegetale</t>
        </is>
      </c>
      <c r="G14" s="132" t="n"/>
      <c r="H14" s="134">
        <f>IFERROR(INDIRECT("'"&amp;G14&amp;"'!E26"),"")</f>
        <v/>
      </c>
      <c r="I14" s="135">
        <f>IFERROR(INDIRECT("'"&amp;G14&amp;"'!E27"),"")</f>
        <v/>
      </c>
      <c r="J14" s="136">
        <f>IFERROR(INDIRECT("'"&amp;G14&amp;"'!E28"),"")</f>
        <v/>
      </c>
      <c r="K14" s="137" t="n"/>
      <c r="L14" s="137" t="inlineStr">
        <is>
          <t>In curs</t>
        </is>
      </c>
      <c r="M14" s="138" t="n"/>
    </row>
    <row r="15" s="128">
      <c r="B15" s="132" t="n">
        <v>9</v>
      </c>
      <c r="C15" s="133" t="inlineStr">
        <is>
          <t>Flacon capsule/comprimate + capac (eticheta 169x58,5 mm)</t>
        </is>
      </c>
      <c r="D15" s="133" t="inlineStr">
        <is>
          <t>De confirmat</t>
        </is>
      </c>
      <c r="E15" s="133" t="inlineStr">
        <is>
          <t>Alb (flacon si capac, din poza)</t>
        </is>
      </c>
      <c r="F15" s="133" t="inlineStr">
        <is>
          <t>Anghinare 60 comprimate; Anghinare Pachet 60+60 comprimate; Ashwagandha KSM-66® 600mg 30 capsule vegetale; Astaxanthin 6mg 30 capsule vegetale; Berberină Duo 60 capsule vegetale; Berberină Momordica Gluco Suport 30 capsule vegetale; Ca-Mg-Zn Vitamineral 60 comprimate; Calciu citrat Vitamina D3 30 capsule vegetale; Chimen Negru 500mg 30 capsule moi; Coenzima Q10 120mg 30 capsule vegetale; Coenzima Q10 120mg Pachet 30+30 capsule vegetale; D3 + K2 30 capsule vegetale; D3 + K2 Forte 30 capsule vegetale; EnzimDigest 30 capsule vegetale; Fier lipozomal 30 capsule vegetale; L-Arginină 60 capsule vegetale; Maca 120 comprimate; Maca Pachet 120+120 comprimate; Magneziu 375mg 30 capsule vegetale; Magneziu Bisglicinat 60 capsule vegetale; Magneziu Bisglicinat Forte 30 capsule vegetale; Magneziu Bisglicinat Somn 30 capsule vegetale; Magneziu citrat 30 capsule vegetale; Melatonină 3mg 30 capsule vegetale; Melatonină 5mg 30 capsule vegetale; MSM Optim 1000mg 30 comprimate; ProstatoSan 30 capsule vegetale; Quercetin cu Zn și D3 30 capsule vegetale; Quercetin cu Zn și D3 Pachet 30+30 capsule vegetale; Rhodiola 60 comprimate; Rhodiola Pachet 60+60 comprimate; Spirulină Bio 1000mg 45 comprimate; Tămâie 500mg Boswellia serrata 60 capsule vegetale; Vitamina C 1000mg 30 capsule vegetale; Vitamina C cu Zn și D3 1000mg 30 capsule vegetale; Vitamina C Lipozomală 30 capsule vegetale; Zinc bisglicinat 30 capsule vegetale</t>
        </is>
      </c>
      <c r="G15" s="132" t="n"/>
      <c r="H15" s="134">
        <f>IFERROR(INDIRECT("'"&amp;G15&amp;"'!E26"),"")</f>
        <v/>
      </c>
      <c r="I15" s="135">
        <f>IFERROR(INDIRECT("'"&amp;G15&amp;"'!E27"),"")</f>
        <v/>
      </c>
      <c r="J15" s="136">
        <f>IFERROR(INDIRECT("'"&amp;G15&amp;"'!E28"),"")</f>
        <v/>
      </c>
      <c r="K15" s="137" t="n"/>
      <c r="L15" s="137" t="inlineStr">
        <is>
          <t>In curs</t>
        </is>
      </c>
      <c r="M15" s="138" t="n"/>
    </row>
    <row r="16" s="128">
      <c r="B16" s="132" t="n">
        <v>10</v>
      </c>
      <c r="C16" s="133" t="inlineStr">
        <is>
          <t>Flacon capsule/comprimate + capac (eticheta 140x46 mm)</t>
        </is>
      </c>
      <c r="D16" s="133" t="inlineStr">
        <is>
          <t>De confirmat</t>
        </is>
      </c>
      <c r="E16" s="133" t="inlineStr">
        <is>
          <t>Alb (flacon si capac, din poza)</t>
        </is>
      </c>
      <c r="F16" s="133" t="inlineStr">
        <is>
          <t>Calciu lactic 30 comprimate; Calciu lactic 60 comprimate; Calciu Magneziu D 30 comprimate; Calciu Magneziu D Pachet 30+30 comprimate; Calciu Magneziu Zinc 40 comprimate; Calciu Vitamina D3 40 comprimate; Complex B 30 comprimate; Magneziu Vitamina B6 30 comprimate; Seleniu Natural 200µg 30 comprimate filmate; Urifin 30 comprimate; Urifin 30 comprimate + Urifin Ceai 20 plicuri; Urifin Pachet 30+30 comprimate; Vitamina B12 Optim 1000µg 30 comprimate; Vitamina C 180mg 20 comprimate masticabile; Vitamina C 180mg 60 comprimate masticabile; Vitamina D3 Forte 5000UI 30 comprimate; Vitamina D3 Optim 2000UI 30 capsule vegetale; Vitamine și minerale esențiale 30 comprimate; Zaharină 100 comprimate; Zinc Optim 25mg 30 capsule vegetale</t>
        </is>
      </c>
      <c r="G16" s="132" t="n"/>
      <c r="H16" s="134">
        <f>IFERROR(INDIRECT("'"&amp;G16&amp;"'!E26"),"")</f>
        <v/>
      </c>
      <c r="I16" s="135">
        <f>IFERROR(INDIRECT("'"&amp;G16&amp;"'!E27"),"")</f>
        <v/>
      </c>
      <c r="J16" s="136">
        <f>IFERROR(INDIRECT("'"&amp;G16&amp;"'!E28"),"")</f>
        <v/>
      </c>
      <c r="K16" s="137" t="n"/>
      <c r="L16" s="137" t="inlineStr">
        <is>
          <t>In curs</t>
        </is>
      </c>
      <c r="M16" s="138" t="n"/>
    </row>
    <row r="17" s="128">
      <c r="B17" s="132" t="n">
        <v>11</v>
      </c>
      <c r="C17" s="133" t="inlineStr">
        <is>
          <t>Flacon capsule/comprimate + capac (eticheta 99x14 mm)</t>
        </is>
      </c>
      <c r="D17" s="133" t="inlineStr">
        <is>
          <t>De confirmat</t>
        </is>
      </c>
      <c r="E17" s="133" t="inlineStr">
        <is>
          <t>Alb (flacon si capac, din poza)</t>
        </is>
      </c>
      <c r="F17" s="133" t="inlineStr">
        <is>
          <t>Bomboane cu mentă 60 comprimate masticabile</t>
        </is>
      </c>
      <c r="G17" s="132" t="n"/>
      <c r="H17" s="134">
        <f>IFERROR(INDIRECT("'"&amp;G17&amp;"'!E26"),"")</f>
        <v/>
      </c>
      <c r="I17" s="135">
        <f>IFERROR(INDIRECT("'"&amp;G17&amp;"'!E27"),"")</f>
        <v/>
      </c>
      <c r="J17" s="136">
        <f>IFERROR(INDIRECT("'"&amp;G17&amp;"'!E28"),"")</f>
        <v/>
      </c>
      <c r="K17" s="137" t="n"/>
      <c r="L17" s="137" t="inlineStr">
        <is>
          <t>In curs</t>
        </is>
      </c>
      <c r="M17" s="138" t="n"/>
    </row>
    <row r="18" s="128">
      <c r="B18" s="132" t="n">
        <v>12</v>
      </c>
      <c r="C18" s="133" t="inlineStr">
        <is>
          <t>Flacon brun capsule/comprimate + capac (eticheta 169x58,5 mm)</t>
        </is>
      </c>
      <c r="D18" s="133" t="inlineStr">
        <is>
          <t>De confirmat</t>
        </is>
      </c>
      <c r="E18" s="133" t="inlineStr">
        <is>
          <t>Brun (flacon), maro (capac), din poza</t>
        </is>
      </c>
      <c r="F18" s="133" t="inlineStr">
        <is>
          <t>Ginkana Circulație 30 capsule vegetale; Ginkana Memorie 30 capsule vegetale; Ginkana Memorie 30+30 capsule vegetale</t>
        </is>
      </c>
      <c r="G18" s="132" t="n"/>
      <c r="H18" s="134">
        <f>IFERROR(INDIRECT("'"&amp;G18&amp;"'!E26"),"")</f>
        <v/>
      </c>
      <c r="I18" s="135">
        <f>IFERROR(INDIRECT("'"&amp;G18&amp;"'!E27"),"")</f>
        <v/>
      </c>
      <c r="J18" s="136">
        <f>IFERROR(INDIRECT("'"&amp;G18&amp;"'!E28"),"")</f>
        <v/>
      </c>
      <c r="K18" s="137" t="n"/>
      <c r="L18" s="137" t="inlineStr">
        <is>
          <t>In curs</t>
        </is>
      </c>
      <c r="M18" s="138" t="n"/>
    </row>
    <row r="19" s="128">
      <c r="B19" s="132" t="n">
        <v>13</v>
      </c>
      <c r="C19" s="133" t="inlineStr">
        <is>
          <t>Flacon brun capsule/comprimate + capac (eticheta 140x46 mm)</t>
        </is>
      </c>
      <c r="D19" s="133" t="inlineStr">
        <is>
          <t>De confirmat</t>
        </is>
      </c>
      <c r="E19" s="133" t="inlineStr">
        <is>
          <t>Brun (flacon), maro (capac), din poza</t>
        </is>
      </c>
      <c r="F19" s="133" t="inlineStr">
        <is>
          <t>Ginkana Ginkgo biloba 120mg 30 comprimate; Ginkana Ginkgo biloba 120mg Pachet 30+30 comprimate; Ginkana Ginkgo biloba 40mg 30 comprimate; Ginkana Ginkgo biloba 40mg Pachet 30+30 comprimate; Ginkana Ginkgo biloba 80mg forte 30 comprimate; Ginkana Ginkgo biloba 80mg forte Pachet 30+30 comprimate; Ginseng 30 comprimate; Ginseng Pachet 30+30 comprimate; Ginseng siberian 30 capsule vegetale; Ginseng siberian Pachet 30+30 capsule vegetale; Masculin Potent 30 comprimate + Ginseng siberian 30 capsule vegetale; Spirulină 500mg 30 comprimate; Spirulină 500mg Pachet 30+30 comprimate</t>
        </is>
      </c>
      <c r="G19" s="132" t="n"/>
      <c r="H19" s="134">
        <f>IFERROR(INDIRECT("'"&amp;G19&amp;"'!E26"),"")</f>
        <v/>
      </c>
      <c r="I19" s="135">
        <f>IFERROR(INDIRECT("'"&amp;G19&amp;"'!E27"),"")</f>
        <v/>
      </c>
      <c r="J19" s="136">
        <f>IFERROR(INDIRECT("'"&amp;G19&amp;"'!E28"),"")</f>
        <v/>
      </c>
      <c r="K19" s="137" t="n"/>
      <c r="L19" s="137" t="inlineStr">
        <is>
          <t>In curs</t>
        </is>
      </c>
      <c r="M19" s="138" t="n"/>
    </row>
    <row r="20" s="128">
      <c r="B20" s="132" t="n">
        <v>14</v>
      </c>
      <c r="C20" s="133" t="inlineStr">
        <is>
          <t>Flacon 1000 ml + capac</t>
        </is>
      </c>
      <c r="D20" s="133" t="inlineStr">
        <is>
          <t>1000 ml</t>
        </is>
      </c>
      <c r="E20" s="133" t="inlineStr">
        <is>
          <t>Alb (din poza)</t>
        </is>
      </c>
      <c r="F20" s="133" t="inlineStr">
        <is>
          <t>Suc de Noni Tahitian Bio 1000ml; Suc ecologic de Aloe Vera 1000ml</t>
        </is>
      </c>
      <c r="G20" s="132" t="n"/>
      <c r="H20" s="134">
        <f>IFERROR(INDIRECT("'"&amp;G20&amp;"'!E26"),"")</f>
        <v/>
      </c>
      <c r="I20" s="135">
        <f>IFERROR(INDIRECT("'"&amp;G20&amp;"'!E27"),"")</f>
        <v/>
      </c>
      <c r="J20" s="136">
        <f>IFERROR(INDIRECT("'"&amp;G20&amp;"'!E28"),"")</f>
        <v/>
      </c>
      <c r="K20" s="137" t="n"/>
      <c r="L20" s="137" t="inlineStr">
        <is>
          <t>In curs</t>
        </is>
      </c>
      <c r="M20" s="138" t="n"/>
    </row>
    <row r="21" s="128">
      <c r="B21" s="132" t="n">
        <v>15</v>
      </c>
      <c r="C21" s="133" t="inlineStr">
        <is>
          <t>Flacon 150 ml + capac (plastic sau sticla, de confirmat)</t>
        </is>
      </c>
      <c r="D21" s="133" t="inlineStr">
        <is>
          <t>150 ml</t>
        </is>
      </c>
      <c r="E21" s="133" t="inlineStr">
        <is>
          <t>De confirmat</t>
        </is>
      </c>
      <c r="F21" s="133" t="inlineStr">
        <is>
          <t>Atusin Sirop 150ml; Dodino Sirop Atusin 150ml; Dodino Sirop Calciu și Vitamina D3 150ml; Dodino Sirop cu Magneziu și Complex B 150ml; Dodino Sirop de Propolis cu Echinacea 150ml; Dodino Sirop Memorie și Concentrare 150ml; Dodino Sirop Vermilin 150ml; Dodino Sirop Vitamine și Multiminerale 150ml; Gripalin Sirop 150ml; Sirop de muguri de pin și brad 150ml; Sirop de pătlagină 150ml; Sirop laxatin 150ml; Sirop pentru imunitate 150ml; Sirop pentru somn 150ml</t>
        </is>
      </c>
      <c r="G21" s="132" t="n"/>
      <c r="H21" s="134">
        <f>IFERROR(INDIRECT("'"&amp;G21&amp;"'!E26"),"")</f>
        <v/>
      </c>
      <c r="I21" s="135">
        <f>IFERROR(INDIRECT("'"&amp;G21&amp;"'!E27"),"")</f>
        <v/>
      </c>
      <c r="J21" s="136">
        <f>IFERROR(INDIRECT("'"&amp;G21&amp;"'!E28"),"")</f>
        <v/>
      </c>
      <c r="K21" s="137" t="n"/>
      <c r="L21" s="137" t="inlineStr">
        <is>
          <t>In curs</t>
        </is>
      </c>
      <c r="M21" s="138" t="n"/>
    </row>
    <row r="22" s="128">
      <c r="B22" s="132" t="n">
        <v>16</v>
      </c>
      <c r="C22" s="133" t="inlineStr">
        <is>
          <t>Flacon 20 ml + spray (plastic sau sticla, de confirmat)</t>
        </is>
      </c>
      <c r="D22" s="133" t="inlineStr">
        <is>
          <t>20 ml</t>
        </is>
      </c>
      <c r="E22" s="133" t="inlineStr">
        <is>
          <t>De confirmat</t>
        </is>
      </c>
      <c r="F22" s="133" t="inlineStr">
        <is>
          <t>Propolis C-tare Spray 20ml</t>
        </is>
      </c>
      <c r="G22" s="132" t="n"/>
      <c r="H22" s="134">
        <f>IFERROR(INDIRECT("'"&amp;G22&amp;"'!E26"),"")</f>
        <v/>
      </c>
      <c r="I22" s="135">
        <f>IFERROR(INDIRECT("'"&amp;G22&amp;"'!E27"),"")</f>
        <v/>
      </c>
      <c r="J22" s="136">
        <f>IFERROR(INDIRECT("'"&amp;G22&amp;"'!E28"),"")</f>
        <v/>
      </c>
      <c r="K22" s="137" t="n"/>
      <c r="L22" s="137" t="inlineStr">
        <is>
          <t>In curs</t>
        </is>
      </c>
      <c r="M22" s="138" t="n"/>
    </row>
    <row r="23" s="128">
      <c r="B23" s="132" t="n">
        <v>17</v>
      </c>
      <c r="C23" s="133" t="inlineStr">
        <is>
          <t>Plic monodoza pulbere solubila</t>
        </is>
      </c>
      <c r="D23" s="133" t="inlineStr">
        <is>
          <t>De confirmat</t>
        </is>
      </c>
      <c r="E23" s="133" t="inlineStr">
        <is>
          <t>De confirmat</t>
        </is>
      </c>
      <c r="F23" s="133" t="inlineStr">
        <is>
          <t>Articlar HyaluCollagen Solubil 20 plicuri; Articlar HyaluCollagen Solubil 30 plicuri; Beauty HyaluCollagen Solubil 20 plicuri; Calciu 1200mg Vitamina D3 Solubil 20 plicuri; Calciu Magneziu Zinc D3 Solubil 20 plicuri; Electroliți Forte - Săruri de rehidratare Solubil 20 plicuri; Gripalin Natural Solubil 10 plicuri; Magneziu 300mg Solubil 20 plicuri; Urifin rapid Solubil 15 plicuri; Urifin Rapid Solubil 15 plicuri + Ceai Urifin 20 plicuri Pachet x 2; Vitamina C Naturală 1000mg Solubil 15 plicuri; Vitamine și minerale Forte Solubil 15 plicuri</t>
        </is>
      </c>
      <c r="G23" s="132" t="n"/>
      <c r="H23" s="134">
        <f>IFERROR(INDIRECT("'"&amp;G23&amp;"'!E26"),"")</f>
        <v/>
      </c>
      <c r="I23" s="135">
        <f>IFERROR(INDIRECT("'"&amp;G23&amp;"'!E27"),"")</f>
        <v/>
      </c>
      <c r="J23" s="136">
        <f>IFERROR(INDIRECT("'"&amp;G23&amp;"'!E28"),"")</f>
        <v/>
      </c>
      <c r="K23" s="137" t="n"/>
      <c r="L23" s="137" t="inlineStr">
        <is>
          <t>In curs</t>
        </is>
      </c>
      <c r="M23" s="138" t="n"/>
    </row>
    <row r="24" s="128">
      <c r="B24" s="132" t="n">
        <v>18</v>
      </c>
      <c r="C24" s="133" t="inlineStr">
        <is>
          <t>Borcan 250 g + capac</t>
        </is>
      </c>
      <c r="D24" s="133" t="inlineStr">
        <is>
          <t>250 g / 250 ml</t>
        </is>
      </c>
      <c r="E24" s="133" t="inlineStr">
        <is>
          <t>Alb (borcan si capac, din poza)</t>
        </is>
      </c>
      <c r="F24" s="133" t="inlineStr">
        <is>
          <t>Articlar Gel 250g; Balsam Puterea Calului cu chili 250g; Balsam Vigoarea Ursului Polar 250g; Cremă de Arnică 250 ml; Cremă de Gălbenele 250g; Gheara Diavolului Balsam 250g; Gheara Diavolului Canabis Gel 250g; Picioare Obosite Cremă 250g; Puterea Calului Canabis Gel 250g</t>
        </is>
      </c>
      <c r="G24" s="132" t="n"/>
      <c r="H24" s="134">
        <f>IFERROR(INDIRECT("'"&amp;G24&amp;"'!E26"),"")</f>
        <v/>
      </c>
      <c r="I24" s="135">
        <f>IFERROR(INDIRECT("'"&amp;G24&amp;"'!E27"),"")</f>
        <v/>
      </c>
      <c r="J24" s="136">
        <f>IFERROR(INDIRECT("'"&amp;G24&amp;"'!E28"),"")</f>
        <v/>
      </c>
      <c r="K24" s="137" t="n"/>
      <c r="L24" s="137" t="inlineStr">
        <is>
          <t>In curs</t>
        </is>
      </c>
      <c r="M24" s="138" t="n"/>
    </row>
    <row r="25" s="128">
      <c r="B25" s="132" t="n">
        <v>19</v>
      </c>
      <c r="C25" s="133" t="inlineStr">
        <is>
          <t>Recipient pulbere 300 g + capac</t>
        </is>
      </c>
      <c r="D25" s="133" t="inlineStr">
        <is>
          <t>300 g</t>
        </is>
      </c>
      <c r="E25" s="133" t="inlineStr">
        <is>
          <t>Alb (din poza)</t>
        </is>
      </c>
      <c r="F25" s="133" t="inlineStr">
        <is>
          <t>Colagen Peptide 300g; Colagen Peptide cu Acid hialuronic și Vitamina C 300g</t>
        </is>
      </c>
      <c r="G25" s="132" t="n"/>
      <c r="H25" s="134">
        <f>IFERROR(INDIRECT("'"&amp;G25&amp;"'!E26"),"")</f>
        <v/>
      </c>
      <c r="I25" s="135">
        <f>IFERROR(INDIRECT("'"&amp;G25&amp;"'!E27"),"")</f>
        <v/>
      </c>
      <c r="J25" s="136">
        <f>IFERROR(INDIRECT("'"&amp;G25&amp;"'!E28"),"")</f>
        <v/>
      </c>
      <c r="K25" s="137" t="n"/>
      <c r="L25" s="137" t="inlineStr">
        <is>
          <t>In curs</t>
        </is>
      </c>
      <c r="M25" s="138" t="n"/>
    </row>
    <row r="26" s="128">
      <c r="B26" s="132" t="n">
        <v>20</v>
      </c>
      <c r="C26" s="133" t="inlineStr">
        <is>
          <t>Recipient pulbere 140 g + capac</t>
        </is>
      </c>
      <c r="D26" s="133" t="inlineStr">
        <is>
          <t>140 g</t>
        </is>
      </c>
      <c r="E26" s="133" t="inlineStr">
        <is>
          <t>Alb (din poza)</t>
        </is>
      </c>
      <c r="F26" s="133" t="inlineStr">
        <is>
          <t>Inulină 140g</t>
        </is>
      </c>
      <c r="G26" s="132" t="n"/>
      <c r="H26" s="134">
        <f>IFERROR(INDIRECT("'"&amp;G26&amp;"'!E26"),"")</f>
        <v/>
      </c>
      <c r="I26" s="135">
        <f>IFERROR(INDIRECT("'"&amp;G26&amp;"'!E27"),"")</f>
        <v/>
      </c>
      <c r="J26" s="136">
        <f>IFERROR(INDIRECT("'"&amp;G26&amp;"'!E28"),"")</f>
        <v/>
      </c>
      <c r="K26" s="137" t="n"/>
      <c r="L26" s="137" t="inlineStr">
        <is>
          <t>In curs</t>
        </is>
      </c>
      <c r="M26" s="138" t="n"/>
    </row>
    <row r="27" s="128">
      <c r="B27" s="132" t="n">
        <v>21</v>
      </c>
      <c r="C27" s="133" t="inlineStr">
        <is>
          <t>Borcan 20 g + capac</t>
        </is>
      </c>
      <c r="D27" s="133" t="inlineStr">
        <is>
          <t>20 g</t>
        </is>
      </c>
      <c r="E27" s="133" t="inlineStr">
        <is>
          <t>Alb (din poza)</t>
        </is>
      </c>
      <c r="F27" s="133" t="inlineStr">
        <is>
          <t>Alifie chinezească 20g; Balsam Arnică 20g; Balsam călcâie 20g; Balsam Gălbenele 20g; Balsam Gălbenele și Tătăneasă 20g; Balsam Propolis 20g; Balsam Rostopască 20g; Balsam Tătăneasă 20g</t>
        </is>
      </c>
      <c r="G27" s="132" t="n"/>
      <c r="H27" s="134">
        <f>IFERROR(INDIRECT("'"&amp;G27&amp;"'!E26"),"")</f>
        <v/>
      </c>
      <c r="I27" s="135">
        <f>IFERROR(INDIRECT("'"&amp;G27&amp;"'!E27"),"")</f>
        <v/>
      </c>
      <c r="J27" s="136">
        <f>IFERROR(INDIRECT("'"&amp;G27&amp;"'!E28"),"")</f>
        <v/>
      </c>
      <c r="K27" s="137" t="n"/>
      <c r="L27" s="137" t="inlineStr">
        <is>
          <t>In curs</t>
        </is>
      </c>
      <c r="M27" s="138" t="n"/>
    </row>
    <row r="28" s="128">
      <c r="B28" s="132" t="n">
        <v>22</v>
      </c>
      <c r="C28" s="133" t="inlineStr">
        <is>
          <t>Tub 200 ml + capac</t>
        </is>
      </c>
      <c r="D28" s="133" t="inlineStr">
        <is>
          <t>200 ml</t>
        </is>
      </c>
      <c r="E28" s="133" t="inlineStr">
        <is>
          <t>Alb (din poza)</t>
        </is>
      </c>
      <c r="F28" s="133" t="inlineStr">
        <is>
          <t>Gel anticelulitic 200ml</t>
        </is>
      </c>
      <c r="G28" s="132" t="n"/>
      <c r="H28" s="134">
        <f>IFERROR(INDIRECT("'"&amp;G28&amp;"'!E26"),"")</f>
        <v/>
      </c>
      <c r="I28" s="135">
        <f>IFERROR(INDIRECT("'"&amp;G28&amp;"'!E27"),"")</f>
        <v/>
      </c>
      <c r="J28" s="136">
        <f>IFERROR(INDIRECT("'"&amp;G28&amp;"'!E28"),"")</f>
        <v/>
      </c>
      <c r="K28" s="137" t="n"/>
      <c r="L28" s="137" t="inlineStr">
        <is>
          <t>In curs</t>
        </is>
      </c>
      <c r="M28" s="138" t="n"/>
    </row>
    <row r="29" s="128">
      <c r="B29" s="132" t="n">
        <v>23</v>
      </c>
      <c r="C29" s="133" t="inlineStr">
        <is>
          <t>Tub 150 ml + capac</t>
        </is>
      </c>
      <c r="D29" s="133" t="inlineStr">
        <is>
          <t>150 ml</t>
        </is>
      </c>
      <c r="E29" s="133" t="inlineStr">
        <is>
          <t>Alb (din poza)</t>
        </is>
      </c>
      <c r="F29" s="133" t="inlineStr">
        <is>
          <t>Cremă antivergeturi 150ml</t>
        </is>
      </c>
      <c r="G29" s="132" t="n"/>
      <c r="H29" s="134">
        <f>IFERROR(INDIRECT("'"&amp;G29&amp;"'!E26"),"")</f>
        <v/>
      </c>
      <c r="I29" s="135">
        <f>IFERROR(INDIRECT("'"&amp;G29&amp;"'!E27"),"")</f>
        <v/>
      </c>
      <c r="J29" s="136">
        <f>IFERROR(INDIRECT("'"&amp;G29&amp;"'!E28"),"")</f>
        <v/>
      </c>
      <c r="K29" s="137" t="n"/>
      <c r="L29" s="137" t="inlineStr">
        <is>
          <t>In curs</t>
        </is>
      </c>
      <c r="M29" s="138" t="n"/>
    </row>
    <row r="30" s="128">
      <c r="B30" s="132" t="n">
        <v>24</v>
      </c>
      <c r="C30" s="133" t="inlineStr">
        <is>
          <t>Tub 50 ml + capac</t>
        </is>
      </c>
      <c r="D30" s="133" t="inlineStr">
        <is>
          <t>50 ml</t>
        </is>
      </c>
      <c r="E30" s="133" t="inlineStr">
        <is>
          <t>Alb (din poza)</t>
        </is>
      </c>
      <c r="F30" s="133" t="inlineStr">
        <is>
          <t>Articlar Gel 50ml; Crema cu uree 15% 50ml; Cremă de mâini cu Gălbenele și Aloe vera 50ml; Gel înțepături insecte 50ml</t>
        </is>
      </c>
      <c r="G30" s="132" t="n"/>
      <c r="H30" s="134">
        <f>IFERROR(INDIRECT("'"&amp;G30&amp;"'!E26"),"")</f>
        <v/>
      </c>
      <c r="I30" s="135">
        <f>IFERROR(INDIRECT("'"&amp;G30&amp;"'!E27"),"")</f>
        <v/>
      </c>
      <c r="J30" s="136">
        <f>IFERROR(INDIRECT("'"&amp;G30&amp;"'!E28"),"")</f>
        <v/>
      </c>
      <c r="K30" s="137" t="n"/>
      <c r="L30" s="137" t="inlineStr">
        <is>
          <t>In curs</t>
        </is>
      </c>
      <c r="M30" s="138" t="n"/>
    </row>
    <row r="31" s="128">
      <c r="B31" s="132" t="n">
        <v>25</v>
      </c>
      <c r="C31" s="133" t="inlineStr">
        <is>
          <t>Tub 20 ml + capac</t>
        </is>
      </c>
      <c r="D31" s="133" t="inlineStr">
        <is>
          <t>20 ml</t>
        </is>
      </c>
      <c r="E31" s="133" t="inlineStr">
        <is>
          <t>Alb (din poza)</t>
        </is>
      </c>
      <c r="F31" s="133" t="inlineStr">
        <is>
          <t>Cremă Antiacneică 20 ml; Gel bătături 20ml</t>
        </is>
      </c>
      <c r="G31" s="132" t="n"/>
      <c r="H31" s="134">
        <f>IFERROR(INDIRECT("'"&amp;G31&amp;"'!E26"),"")</f>
        <v/>
      </c>
      <c r="I31" s="135">
        <f>IFERROR(INDIRECT("'"&amp;G31&amp;"'!E27"),"")</f>
        <v/>
      </c>
      <c r="J31" s="136">
        <f>IFERROR(INDIRECT("'"&amp;G31&amp;"'!E28"),"")</f>
        <v/>
      </c>
      <c r="K31" s="137" t="n"/>
      <c r="L31" s="137" t="inlineStr">
        <is>
          <t>In curs</t>
        </is>
      </c>
      <c r="M31" s="138" t="n"/>
    </row>
    <row r="32" s="128">
      <c r="B32" s="132" t="n">
        <v>26</v>
      </c>
      <c r="C32" s="133" t="inlineStr">
        <is>
          <t>Plic ceai (in cutie)</t>
        </is>
      </c>
      <c r="D32" s="133" t="inlineStr">
        <is>
          <t>De confirmat</t>
        </is>
      </c>
      <c r="E32" s="133" t="inlineStr">
        <is>
          <t>De confirmat</t>
        </is>
      </c>
      <c r="F32" s="133" t="inlineStr">
        <is>
          <t>Atusin Ceai 20 plicuri; Ceai antigripol 40 plicuri; Ceai antistres 20 plicuri; Ceai colesterol 20 plicuri; Ceai cu afine 20 plicuri; Ceai cu mere și coacăze 20 plicuri; Ceai de crușin 20 plicuri; Ceai de ghimbir cu coajă de portocale 20 plicuri; Ceai de gălbenele 20 plicuri; Ceai de gălbenele 40 plicuri; Ceai de lavandă 20 plicuri; Ceai de mentă 20 plicuri; Ceai de mentă cu aromă de lămâie 20 plicuri; Ceai de mușețel 20 plicuri; Ceai de mușețel 40 plicuri; Ceai de slăbit 20 plicuri; Ceai de slăbit 40 plicuri; Ceai de soc 20 plicuri; Ceai de sunătoare 20 plicuri; Ceai de sunătoare 40 plicuri; Ceai de tei 20 plicuri; Ceai de tei 40 plicuri; Ceai de urzică 20 plicuri; Ceai digestiv 20 plicuri; Ceai diuretic 20 plicuri; Ceai fructe de pădure 20 plicuri; Ceai gastric 20 plicuri; Ceai Gripalin 20 plicuri; Ceai hepatic 20 plicuri; Ceai hepatic 40 plicuri; Ceai imunitate 20 plicuri; Ceai laxatin 20 plicuri; Ceai menopauză 20 plicuri; Ceai negru 20 plicuri; Ceai normalizarea glicemiei 20 plicuri; Ceai normalizarea glicemiei 40 plicuri; Ceai pentru articulații 20 plicuri; Ceai pentru prostată 20 plicuri; Ceai pentru somn 20 plicuri; Ceai pentru tensiune 20 plicuri; Ceai renal 20 plicuri; Ceai verde 20 plicuri; Complex de slăbit ceai cu ginseng și ananas 30 plicuri; Silfide Complex de slăbit forte 100 comprimate + Ceai de slăbit 30 plicuri; Urifin 30 comprimate + Urifin Ceai 20 plicuri; Urifin Rapid Solubil 15 plicuri + Ceai Urifin 20 plicuri Pachet x 2</t>
        </is>
      </c>
      <c r="G32" s="132" t="n"/>
      <c r="H32" s="134">
        <f>IFERROR(INDIRECT("'"&amp;G32&amp;"'!E26"),"")</f>
        <v/>
      </c>
      <c r="I32" s="135">
        <f>IFERROR(INDIRECT("'"&amp;G32&amp;"'!E27"),"")</f>
        <v/>
      </c>
      <c r="J32" s="136">
        <f>IFERROR(INDIRECT("'"&amp;G32&amp;"'!E28"),"")</f>
        <v/>
      </c>
      <c r="K32" s="137" t="n"/>
      <c r="L32" s="137" t="inlineStr">
        <is>
          <t>In curs</t>
        </is>
      </c>
      <c r="M32" s="138" t="n"/>
    </row>
    <row r="33" s="128">
      <c r="B33" s="132" t="n">
        <v>27</v>
      </c>
      <c r="C33" s="133" t="inlineStr">
        <is>
          <t>Plic piramida ceai (in cutie)</t>
        </is>
      </c>
      <c r="D33" s="133" t="inlineStr">
        <is>
          <t>De confirmat</t>
        </is>
      </c>
      <c r="E33" s="133" t="inlineStr">
        <is>
          <t>De confirmat</t>
        </is>
      </c>
      <c r="F33" s="133" t="inlineStr">
        <is>
          <t>TABIETURI Ceai de Fructe roșii 12 plicuri; TABIETURI Ceai de Mentă delicat 12 plicuri; TABIETURI Ceai de Merișor 12 plicuri; TABIETURI Ceai de Mușețel și citrice 12 plicuri; TABIETURI Ceai English breakfast 12 plicuri; TABIETURI Ceai Fruit melange 12 plicuri; TABIETURI Ceai Oriental condimentat 12 plicuri; TABIETURI Ceai Rooibos Creme brulee 12 plicuri; TABIETURI Ceai Verde cu aromă de Iasomie 12 plicuri</t>
        </is>
      </c>
      <c r="G33" s="132" t="n"/>
      <c r="H33" s="134">
        <f>IFERROR(INDIRECT("'"&amp;G33&amp;"'!E26"),"")</f>
        <v/>
      </c>
      <c r="I33" s="135">
        <f>IFERROR(INDIRECT("'"&amp;G33&amp;"'!E27"),"")</f>
        <v/>
      </c>
      <c r="J33" s="136">
        <f>IFERROR(INDIRECT("'"&amp;G33&amp;"'!E28"),"")</f>
        <v/>
      </c>
      <c r="K33" s="137" t="n"/>
      <c r="L33" s="137" t="inlineStr">
        <is>
          <t>In curs</t>
        </is>
      </c>
      <c r="M33" s="138" t="n"/>
    </row>
    <row r="34" s="128">
      <c r="B34" s="132" t="n">
        <v>28</v>
      </c>
      <c r="C34" s="133" t="inlineStr">
        <is>
          <t>Punga interioara ceai vrac (in cutie, de confirmat)</t>
        </is>
      </c>
      <c r="D34" s="133" t="inlineStr">
        <is>
          <t>40 / 50 / 70 g</t>
        </is>
      </c>
      <c r="E34" s="133" t="inlineStr">
        <is>
          <t>De confirmat</t>
        </is>
      </c>
      <c r="F34" s="133" t="inlineStr">
        <is>
          <t>Ceai de anason vrac 50g; Ceai de anghinare vrac 50g; Ceai de armurariu vrac 50g; Ceai de chimen vrac 50g; Ceai de coada calului vrac 50g; Ceai de coada șoricelului vrac 50g; Ceai de codițe de cireșe vrac 50g; Ceai de cătină vrac 50g; Ceai de echinacea vrac 50g; Ceai de fenicul vrac 50g; Ceai de ghimbir vrac 50g; Ceai de ghimpe vrac 50g; Ceai de gălbenele vrac 50g; Ceai de lemn-dulce vrac 40g; Ceai de mentă vrac 50g; Ceai de mușețel vrac 40g; Ceai de măceșe vrac 50g; Ceai de pufuliță cu flori mici vrac 50g; Ceai de păducel cu flori vrac 50g; Ceai de păpădie vrac 50g; Ceai de pătlagină vrac 50g; Ceai de roinița vrac 50g; Ceai de salvie vrac 50g; Ceai de senna vrac 50g; Ceai de slăbit vrac 50g; Ceai de sunătoare vrac 50g; Ceai de tei vrac 40g; Ceai detoxifiere vrac 50g; Ceai din mătase de porumb vrac 50g; Ceai hepatobiliar vrac 50g; Ceai normalizarea glicemiei vrac 50g; Ceai pentru fiere și rinichi vrac 50 g; Complex de slăbit cu ceai verde și lămâie vrac 70g; Gripalin Ceai vrac 50g</t>
        </is>
      </c>
      <c r="G34" s="132" t="n"/>
      <c r="H34" s="134">
        <f>IFERROR(INDIRECT("'"&amp;G34&amp;"'!E26"),"")</f>
        <v/>
      </c>
      <c r="I34" s="135">
        <f>IFERROR(INDIRECT("'"&amp;G34&amp;"'!E27"),"")</f>
        <v/>
      </c>
      <c r="J34" s="136">
        <f>IFERROR(INDIRECT("'"&amp;G34&amp;"'!E28"),"")</f>
        <v/>
      </c>
      <c r="K34" s="137" t="n"/>
      <c r="L34" s="137" t="inlineStr">
        <is>
          <t>In curs</t>
        </is>
      </c>
      <c r="M34" s="138" t="n"/>
    </row>
    <row r="35" s="128">
      <c r="B35" s="132" t="n">
        <v>29</v>
      </c>
      <c r="C35" s="133" t="inlineStr">
        <is>
          <t>Punga ceai 35 g</t>
        </is>
      </c>
      <c r="D35" s="133" t="inlineStr">
        <is>
          <t>35 g</t>
        </is>
      </c>
      <c r="E35" s="133" t="inlineStr">
        <is>
          <t>De confirmat</t>
        </is>
      </c>
      <c r="F35" s="133" t="inlineStr">
        <is>
          <t>Ceai Fructe de pădure cu scorțișoară 35g; Ceai Rooibos cu vanilie 35g</t>
        </is>
      </c>
      <c r="G35" s="132" t="n"/>
      <c r="H35" s="134">
        <f>IFERROR(INDIRECT("'"&amp;G35&amp;"'!E26"),"")</f>
        <v/>
      </c>
      <c r="I35" s="135">
        <f>IFERROR(INDIRECT("'"&amp;G35&amp;"'!E27"),"")</f>
        <v/>
      </c>
      <c r="J35" s="136">
        <f>IFERROR(INDIRECT("'"&amp;G35&amp;"'!E28"),"")</f>
        <v/>
      </c>
      <c r="K35" s="137" t="n"/>
      <c r="L35" s="137" t="inlineStr">
        <is>
          <t>In curs</t>
        </is>
      </c>
      <c r="M35" s="138" t="n"/>
    </row>
    <row r="36" s="128">
      <c r="B36" s="132" t="n">
        <v>30</v>
      </c>
      <c r="C36" s="133" t="inlineStr">
        <is>
          <t>Punga 1 kg</t>
        </is>
      </c>
      <c r="D36" s="133" t="inlineStr">
        <is>
          <t>1 kg</t>
        </is>
      </c>
      <c r="E36" s="133" t="inlineStr">
        <is>
          <t>Transparenta + eticheta (din poza)</t>
        </is>
      </c>
      <c r="F36" s="133" t="inlineStr">
        <is>
          <t>Goji 1kg; Merișor 1kg; Omega Mix 1kg; Seminte de In 1kg; Semințe de Chia 1kg; Vitamin Mix Merișor și Goji 1kg</t>
        </is>
      </c>
      <c r="G36" s="132" t="n"/>
      <c r="H36" s="134">
        <f>IFERROR(INDIRECT("'"&amp;G36&amp;"'!E26"),"")</f>
        <v/>
      </c>
      <c r="I36" s="135">
        <f>IFERROR(INDIRECT("'"&amp;G36&amp;"'!E27"),"")</f>
        <v/>
      </c>
      <c r="J36" s="136">
        <f>IFERROR(INDIRECT("'"&amp;G36&amp;"'!E28"),"")</f>
        <v/>
      </c>
      <c r="K36" s="137" t="n"/>
      <c r="L36" s="137" t="inlineStr">
        <is>
          <t>In curs</t>
        </is>
      </c>
      <c r="M36" s="138" t="n"/>
    </row>
    <row r="37" s="128">
      <c r="B37" s="132" t="n">
        <v>31</v>
      </c>
      <c r="C37" s="133" t="inlineStr">
        <is>
          <t>Punga 500 g</t>
        </is>
      </c>
      <c r="D37" s="133" t="inlineStr">
        <is>
          <t>500 g</t>
        </is>
      </c>
      <c r="E37" s="133" t="inlineStr">
        <is>
          <t>Transparenta + eticheta (din poza)</t>
        </is>
      </c>
      <c r="F37" s="133" t="inlineStr">
        <is>
          <t>Fulgi de Grâu 500g; Fulgi de Orz 500g; Fulgi de Ovăz 500g; Fulgi de Porumb 500g; Fulgi de Porumb fără zahăr 500g; Fulgi de Secară 500g; Goji 500g; Merișor 500g; Musli cereale și fructe uscate 500g; Musli mix 500g; Năut 500g; Omega Mix 500g; Sare roz de Himalaya Cristale neiodată 500g; Seminte de Chia 500g; Seminte de In 500g; Vitamin Mix Merisor și Goji 500g</t>
        </is>
      </c>
      <c r="G37" s="132" t="n"/>
      <c r="H37" s="134">
        <f>IFERROR(INDIRECT("'"&amp;G37&amp;"'!E26"),"")</f>
        <v/>
      </c>
      <c r="I37" s="135">
        <f>IFERROR(INDIRECT("'"&amp;G37&amp;"'!E27"),"")</f>
        <v/>
      </c>
      <c r="J37" s="136">
        <f>IFERROR(INDIRECT("'"&amp;G37&amp;"'!E28"),"")</f>
        <v/>
      </c>
      <c r="K37" s="137" t="n"/>
      <c r="L37" s="137" t="inlineStr">
        <is>
          <t>In curs</t>
        </is>
      </c>
      <c r="M37" s="138" t="n"/>
    </row>
    <row r="38" s="128">
      <c r="B38" s="132" t="n">
        <v>32</v>
      </c>
      <c r="C38" s="133" t="inlineStr">
        <is>
          <t>Punga 250 g</t>
        </is>
      </c>
      <c r="D38" s="133" t="inlineStr">
        <is>
          <t>250 g</t>
        </is>
      </c>
      <c r="E38" s="133" t="inlineStr">
        <is>
          <t>Transparenta + eticheta (din poza)</t>
        </is>
      </c>
      <c r="F38" s="133" t="inlineStr">
        <is>
          <t>Caju crud 250g; Goji 250g; Merișor 250g; Migdale crude 250 g; Seminte Crude de Floarea Soarelui 250g; Semințe crude de Dovleac 250g; Tărâțe de Psyllium 250g</t>
        </is>
      </c>
      <c r="G38" s="132" t="n"/>
      <c r="H38" s="134">
        <f>IFERROR(INDIRECT("'"&amp;G38&amp;"'!E26"),"")</f>
        <v/>
      </c>
      <c r="I38" s="135">
        <f>IFERROR(INDIRECT("'"&amp;G38&amp;"'!E27"),"")</f>
        <v/>
      </c>
      <c r="J38" s="136">
        <f>IFERROR(INDIRECT("'"&amp;G38&amp;"'!E28"),"")</f>
        <v/>
      </c>
      <c r="K38" s="137" t="n"/>
      <c r="L38" s="137" t="inlineStr">
        <is>
          <t>In curs</t>
        </is>
      </c>
      <c r="M38" s="138" t="n"/>
    </row>
    <row r="39" s="128">
      <c r="B39" s="132" t="n">
        <v>33</v>
      </c>
      <c r="C39" s="133" t="inlineStr">
        <is>
          <t>Punga 160 g</t>
        </is>
      </c>
      <c r="D39" s="133" t="inlineStr">
        <is>
          <t>160 g</t>
        </is>
      </c>
      <c r="E39" s="133" t="inlineStr">
        <is>
          <t>Transparenta + eticheta (din poza)</t>
        </is>
      </c>
      <c r="F39" s="133" t="inlineStr">
        <is>
          <t>Seminte Crude de Floarea Soarelui 160g</t>
        </is>
      </c>
      <c r="G39" s="132" t="n"/>
      <c r="H39" s="134">
        <f>IFERROR(INDIRECT("'"&amp;G39&amp;"'!E26"),"")</f>
        <v/>
      </c>
      <c r="I39" s="135">
        <f>IFERROR(INDIRECT("'"&amp;G39&amp;"'!E27"),"")</f>
        <v/>
      </c>
      <c r="J39" s="136">
        <f>IFERROR(INDIRECT("'"&amp;G39&amp;"'!E28"),"")</f>
        <v/>
      </c>
      <c r="K39" s="137" t="n"/>
      <c r="L39" s="137" t="inlineStr">
        <is>
          <t>In curs</t>
        </is>
      </c>
      <c r="M39" s="138" t="n"/>
    </row>
    <row r="40" s="128">
      <c r="B40" s="132" t="n">
        <v>34</v>
      </c>
      <c r="C40" s="133" t="inlineStr">
        <is>
          <t>Punga 150 g</t>
        </is>
      </c>
      <c r="D40" s="133" t="inlineStr">
        <is>
          <t>150 g</t>
        </is>
      </c>
      <c r="E40" s="133" t="inlineStr">
        <is>
          <t>Transparenta + eticheta (din poza)</t>
        </is>
      </c>
      <c r="F40" s="133" t="inlineStr">
        <is>
          <t>Arahide crude 150g; Mix Semințe de Floarea Soarelui și Dovleac 150g; Semințe crude de Dovleac 150g</t>
        </is>
      </c>
      <c r="G40" s="132" t="n"/>
      <c r="H40" s="134">
        <f>IFERROR(INDIRECT("'"&amp;G40&amp;"'!E26"),"")</f>
        <v/>
      </c>
      <c r="I40" s="135">
        <f>IFERROR(INDIRECT("'"&amp;G40&amp;"'!E27"),"")</f>
        <v/>
      </c>
      <c r="J40" s="136">
        <f>IFERROR(INDIRECT("'"&amp;G40&amp;"'!E28"),"")</f>
        <v/>
      </c>
      <c r="K40" s="137" t="n"/>
      <c r="L40" s="137" t="inlineStr">
        <is>
          <t>In curs</t>
        </is>
      </c>
      <c r="M40" s="138" t="n"/>
    </row>
    <row r="41" s="128">
      <c r="B41" s="132" t="n">
        <v>35</v>
      </c>
      <c r="C41" s="133" t="inlineStr">
        <is>
          <t>Punga 140 g</t>
        </is>
      </c>
      <c r="D41" s="133" t="inlineStr">
        <is>
          <t>140 g</t>
        </is>
      </c>
      <c r="E41" s="133" t="inlineStr">
        <is>
          <t>Transparenta + eticheta (din poza)</t>
        </is>
      </c>
      <c r="F41" s="133" t="inlineStr">
        <is>
          <t>Migdale crude 140 g</t>
        </is>
      </c>
      <c r="G41" s="132" t="n"/>
      <c r="H41" s="134">
        <f>IFERROR(INDIRECT("'"&amp;G41&amp;"'!E26"),"")</f>
        <v/>
      </c>
      <c r="I41" s="135">
        <f>IFERROR(INDIRECT("'"&amp;G41&amp;"'!E27"),"")</f>
        <v/>
      </c>
      <c r="J41" s="136">
        <f>IFERROR(INDIRECT("'"&amp;G41&amp;"'!E28"),"")</f>
        <v/>
      </c>
      <c r="K41" s="137" t="n"/>
      <c r="L41" s="137" t="inlineStr">
        <is>
          <t>In curs</t>
        </is>
      </c>
      <c r="M41" s="138" t="n"/>
    </row>
    <row r="42" s="128">
      <c r="B42" s="132" t="n">
        <v>36</v>
      </c>
      <c r="C42" s="133" t="inlineStr">
        <is>
          <t>Punga 130 g</t>
        </is>
      </c>
      <c r="D42" s="133" t="inlineStr">
        <is>
          <t>130 g</t>
        </is>
      </c>
      <c r="E42" s="133" t="inlineStr">
        <is>
          <t>Transparenta + eticheta (din poza)</t>
        </is>
      </c>
      <c r="F42" s="133" t="inlineStr">
        <is>
          <t>Fistic crud 130g; Mix Caju și Migdale 130g; Mix Fructe uscate și Nuci 130g; Omega Mix 130g; Semințe de In 130g; Stafide brune 130g</t>
        </is>
      </c>
      <c r="G42" s="132" t="n"/>
      <c r="H42" s="134">
        <f>IFERROR(INDIRECT("'"&amp;G42&amp;"'!E26"),"")</f>
        <v/>
      </c>
      <c r="I42" s="135">
        <f>IFERROR(INDIRECT("'"&amp;G42&amp;"'!E27"),"")</f>
        <v/>
      </c>
      <c r="J42" s="136">
        <f>IFERROR(INDIRECT("'"&amp;G42&amp;"'!E28"),"")</f>
        <v/>
      </c>
      <c r="K42" s="137" t="n"/>
      <c r="L42" s="137" t="inlineStr">
        <is>
          <t>In curs</t>
        </is>
      </c>
      <c r="M42" s="138" t="n"/>
    </row>
    <row r="43" s="128">
      <c r="B43" s="132" t="n">
        <v>37</v>
      </c>
      <c r="C43" s="133" t="inlineStr">
        <is>
          <t>Punga 110 g</t>
        </is>
      </c>
      <c r="D43" s="133" t="inlineStr">
        <is>
          <t>110 g</t>
        </is>
      </c>
      <c r="E43" s="133" t="inlineStr">
        <is>
          <t>Transparenta + eticheta (din poza)</t>
        </is>
      </c>
      <c r="F43" s="133" t="inlineStr">
        <is>
          <t>Caju crud 110g; Merișor 110g; Vitamin Mix Merișor și Goji 110g</t>
        </is>
      </c>
      <c r="G43" s="132" t="n"/>
      <c r="H43" s="134">
        <f>IFERROR(INDIRECT("'"&amp;G43&amp;"'!E26"),"")</f>
        <v/>
      </c>
      <c r="I43" s="135">
        <f>IFERROR(INDIRECT("'"&amp;G43&amp;"'!E27"),"")</f>
        <v/>
      </c>
      <c r="J43" s="136">
        <f>IFERROR(INDIRECT("'"&amp;G43&amp;"'!E28"),"")</f>
        <v/>
      </c>
      <c r="K43" s="137" t="n"/>
      <c r="L43" s="137" t="inlineStr">
        <is>
          <t>In curs</t>
        </is>
      </c>
      <c r="M43" s="138" t="n"/>
    </row>
    <row r="44" s="128">
      <c r="B44" s="132" t="n">
        <v>38</v>
      </c>
      <c r="C44" s="133" t="inlineStr">
        <is>
          <t>Punga 100 g</t>
        </is>
      </c>
      <c r="D44" s="133" t="inlineStr">
        <is>
          <t>100 g</t>
        </is>
      </c>
      <c r="E44" s="133" t="inlineStr">
        <is>
          <t>Transparenta + eticheta (din poza)</t>
        </is>
      </c>
      <c r="F44" s="133" t="inlineStr">
        <is>
          <t>Goji 100g; Semințe de Chia 100g; Semințe de Susan 100g</t>
        </is>
      </c>
      <c r="G44" s="132" t="n"/>
      <c r="H44" s="134">
        <f>IFERROR(INDIRECT("'"&amp;G44&amp;"'!E26"),"")</f>
        <v/>
      </c>
      <c r="I44" s="135">
        <f>IFERROR(INDIRECT("'"&amp;G44&amp;"'!E27"),"")</f>
        <v/>
      </c>
      <c r="J44" s="136">
        <f>IFERROR(INDIRECT("'"&amp;G44&amp;"'!E28"),"")</f>
        <v/>
      </c>
      <c r="K44" s="137" t="n"/>
      <c r="L44" s="137" t="inlineStr">
        <is>
          <t>In curs</t>
        </is>
      </c>
      <c r="M44" s="138" t="n"/>
    </row>
    <row r="45" s="128">
      <c r="B45" s="132" t="n">
        <v>39</v>
      </c>
      <c r="C45" s="133" t="inlineStr">
        <is>
          <t>Punga 85 g</t>
        </is>
      </c>
      <c r="D45" s="133" t="inlineStr">
        <is>
          <t>85 g</t>
        </is>
      </c>
      <c r="E45" s="133" t="inlineStr">
        <is>
          <t>Transparenta + eticheta (din poza)</t>
        </is>
      </c>
      <c r="F45" s="133" t="inlineStr">
        <is>
          <t>Alune de pădure 85g</t>
        </is>
      </c>
      <c r="G45" s="132" t="n"/>
      <c r="H45" s="134">
        <f>IFERROR(INDIRECT("'"&amp;G45&amp;"'!E26"),"")</f>
        <v/>
      </c>
      <c r="I45" s="135">
        <f>IFERROR(INDIRECT("'"&amp;G45&amp;"'!E27"),"")</f>
        <v/>
      </c>
      <c r="J45" s="136">
        <f>IFERROR(INDIRECT("'"&amp;G45&amp;"'!E28"),"")</f>
        <v/>
      </c>
      <c r="K45" s="137" t="n"/>
      <c r="L45" s="137" t="inlineStr">
        <is>
          <t>In curs</t>
        </is>
      </c>
      <c r="M45" s="138" t="n"/>
    </row>
    <row r="46" s="128">
      <c r="B46" s="132" t="n">
        <v>40</v>
      </c>
      <c r="C46" s="133" t="inlineStr">
        <is>
          <t>Rasnita 200 g (recipient + mecanism de macinare)</t>
        </is>
      </c>
      <c r="D46" s="133" t="inlineStr">
        <is>
          <t>200 g</t>
        </is>
      </c>
      <c r="E46" s="133" t="inlineStr">
        <is>
          <t>Transparent (recipient), negru (rasnita), din poza</t>
        </is>
      </c>
      <c r="F46" s="133" t="inlineStr">
        <is>
          <t>Sare roz de Himalaya Neiodată Râșniță 200g</t>
        </is>
      </c>
      <c r="G46" s="132" t="n"/>
      <c r="H46" s="134">
        <f>IFERROR(INDIRECT("'"&amp;G46&amp;"'!E26"),"")</f>
        <v/>
      </c>
      <c r="I46" s="135">
        <f>IFERROR(INDIRECT("'"&amp;G46&amp;"'!E27"),"")</f>
        <v/>
      </c>
      <c r="J46" s="136">
        <f>IFERROR(INDIRECT("'"&amp;G46&amp;"'!E28"),"")</f>
        <v/>
      </c>
      <c r="K46" s="137" t="n"/>
      <c r="L46" s="137" t="inlineStr">
        <is>
          <t>In curs</t>
        </is>
      </c>
      <c r="M46" s="138" t="n"/>
    </row>
    <row r="47" s="128">
      <c r="B47" s="132" t="n"/>
      <c r="C47" s="132" t="n"/>
      <c r="D47" s="132" t="n"/>
      <c r="E47" s="132" t="n"/>
      <c r="F47" s="132" t="n"/>
      <c r="G47" s="132" t="n"/>
      <c r="H47" s="132" t="n"/>
      <c r="I47" s="132" t="n"/>
      <c r="J47" s="132" t="n"/>
      <c r="K47" s="132" t="n"/>
      <c r="L47" s="132" t="n"/>
      <c r="M47" s="132" t="n"/>
    </row>
    <row r="48" s="128">
      <c r="B48" s="132" t="n"/>
      <c r="C48" s="132" t="n"/>
      <c r="D48" s="132" t="n"/>
      <c r="E48" s="132" t="n"/>
      <c r="F48" s="132" t="n"/>
      <c r="G48" s="132" t="n"/>
      <c r="H48" s="132" t="n"/>
      <c r="I48" s="132" t="n"/>
      <c r="J48" s="132" t="n"/>
      <c r="K48" s="132" t="n"/>
      <c r="L48" s="132" t="n"/>
      <c r="M48" s="132" t="n"/>
    </row>
    <row r="49" ht="19.95" customHeight="1" s="128">
      <c r="C49" s="76" t="inlineStr">
        <is>
          <t>Rezumat (automat)</t>
        </is>
      </c>
      <c r="D49" s="73" t="inlineStr">
        <is>
          <t>Nr. unitati</t>
        </is>
      </c>
    </row>
    <row r="50" ht="19.95" customHeight="1" s="128">
      <c r="C50" s="74" t="inlineStr">
        <is>
          <t>Unitati analizate</t>
        </is>
      </c>
      <c r="D50" s="75">
        <f>COUNTIF(G7:G46,"?*")</f>
        <v/>
      </c>
    </row>
    <row r="51" ht="19.95" customHeight="1" s="128">
      <c r="C51" s="74" t="inlineStr">
        <is>
          <t>A</t>
        </is>
      </c>
      <c r="D51" s="75">
        <f>COUNTIF($J$7:$J$46,C51)</f>
        <v/>
      </c>
    </row>
    <row r="52" ht="19.95" customHeight="1" s="128">
      <c r="C52" s="74" t="inlineStr">
        <is>
          <t>B</t>
        </is>
      </c>
      <c r="D52" s="75">
        <f>COUNTIF($J$7:$J$46,C52)</f>
        <v/>
      </c>
    </row>
    <row r="53" ht="19.95" customHeight="1" s="128">
      <c r="C53" s="74" t="inlineStr">
        <is>
          <t>C</t>
        </is>
      </c>
      <c r="D53" s="75">
        <f>COUNTIF($J$7:$J$46,C53)</f>
        <v/>
      </c>
    </row>
    <row r="54" ht="19.95" customHeight="1" s="128">
      <c r="C54" s="74" t="inlineStr">
        <is>
          <t>Sub 70% - nereciclabil</t>
        </is>
      </c>
      <c r="D54" s="75">
        <f>COUNTIF($J$7:$J$46,C54)</f>
        <v/>
      </c>
    </row>
  </sheetData>
  <mergeCells count="2">
    <mergeCell ref="B4:K4"/>
    <mergeCell ref="B2:K2"/>
  </mergeCells>
  <conditionalFormatting sqref="G7:G46">
    <cfRule type="expression" priority="4" dxfId="3">
      <formula>AND($G7&lt;&gt;"",$H7="")</formula>
    </cfRule>
  </conditionalFormatting>
  <conditionalFormatting sqref="J7:J46">
    <cfRule type="expression" priority="1" dxfId="2">
      <formula>OR($J7="A",$J7="B")</formula>
    </cfRule>
    <cfRule type="expression" priority="2" dxfId="1">
      <formula>$J7="C"</formula>
    </cfRule>
    <cfRule type="expression" priority="3" dxfId="0">
      <formula>LEFT($J7,3)="Sub"</formula>
    </cfRule>
  </conditionalFormatting>
  <dataValidations count="2">
    <dataValidation sqref="K7:K46" showDropDown="0" showInputMessage="1" showErrorMessage="1" allowBlank="1" errorTitle="Prioritate" error="Alegeti: Mare, Medie sau Mica." type="list">
      <formula1>"Mare,Medie,Mica"</formula1>
    </dataValidation>
    <dataValidation sqref="L7:L46" showDropDown="0" showInputMessage="1" showErrorMessage="1" allowBlank="1" errorTitle="Stadiu analiza" error="Valoarea nu este in lista. Puteti continua daca este intentionat." type="list" errorStyle="information">
      <formula1>"Identificata,In completare,Completa,Oferta trimisa"</formula1>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N78"/>
  <sheetViews>
    <sheetView showGridLines="0" zoomScaleNormal="100" workbookViewId="0">
      <selection activeCell="B5" sqref="B5"/>
    </sheetView>
  </sheetViews>
  <sheetFormatPr baseColWidth="8" defaultColWidth="8.6640625" defaultRowHeight="14.4"/>
  <cols>
    <col width="3" customWidth="1" style="128" min="1" max="1"/>
    <col width="38.88671875" customWidth="1" style="128" min="2" max="2"/>
    <col width="18.5546875" customWidth="1" style="128" min="3" max="3"/>
    <col width="15.77734375" customWidth="1" style="128" min="4" max="4"/>
    <col width="11.44140625" customWidth="1" style="128" min="5" max="5"/>
    <col width="13" customWidth="1" style="128" min="6" max="6"/>
    <col width="12.5546875" customWidth="1" style="128" min="7" max="7"/>
    <col width="13.33203125" customWidth="1" style="128" min="8" max="8"/>
    <col width="15.77734375" customWidth="1" style="128" min="9" max="9"/>
    <col width="14.77734375" customWidth="1" style="128" min="10" max="10"/>
    <col width="17.5546875" customWidth="1" style="128" min="11" max="11"/>
    <col width="27.77734375" customWidth="1" style="128" min="12" max="12"/>
    <col width="11.109375" customWidth="1" style="128" min="13" max="13"/>
    <col width="25.88671875" customWidth="1" style="128" min="14" max="14"/>
    <col width="3" customWidth="1" style="128" min="15" max="15"/>
  </cols>
  <sheetData>
    <row r="1" ht="15" customHeight="1" s="128"/>
    <row r="2" ht="27.75" customHeight="1" s="128">
      <c r="B2" s="129" t="inlineStr">
        <is>
          <t>Fisa de analiza — unitate de ambalaj</t>
        </is>
      </c>
      <c r="C2" s="129" t="n"/>
      <c r="D2" s="129" t="n"/>
      <c r="E2" s="34" t="n"/>
      <c r="F2" s="34" t="n"/>
      <c r="G2" s="34" t="n"/>
      <c r="H2" s="34" t="n"/>
      <c r="I2" s="34" t="n"/>
      <c r="J2" s="34" t="n"/>
      <c r="K2" s="34" t="n"/>
      <c r="L2" s="34" t="n"/>
    </row>
    <row r="3" ht="19.5" customHeight="1" s="128">
      <c r="B3" s="35" t="inlineStr">
        <is>
          <t>1. Identificare unitate de ambalaj</t>
        </is>
      </c>
      <c r="C3" s="35" t="n"/>
      <c r="D3" s="35" t="n"/>
      <c r="E3" s="36" t="n"/>
      <c r="F3" s="36" t="n"/>
      <c r="G3" s="36" t="n"/>
      <c r="H3" s="36" t="n"/>
      <c r="I3" s="36" t="n"/>
      <c r="J3" s="36" t="n"/>
      <c r="K3" s="36" t="n"/>
      <c r="L3" s="36" t="n"/>
      <c r="M3" s="51" t="n"/>
      <c r="N3" s="51" t="n"/>
    </row>
    <row r="4" ht="31.95" customHeight="1" s="128">
      <c r="B4" s="52" t="inlineStr">
        <is>
          <t>Denumire unitate (pe baza componentelor)</t>
        </is>
      </c>
      <c r="C4" s="139" t="n"/>
      <c r="D4" s="140" t="n"/>
      <c r="E4" s="140" t="n"/>
      <c r="F4" s="140" t="n"/>
      <c r="G4" s="140" t="n"/>
      <c r="H4" s="140" t="n"/>
      <c r="I4" s="140" t="n"/>
      <c r="J4" s="140" t="n"/>
      <c r="K4" s="140" t="n"/>
      <c r="L4" s="141" t="n"/>
      <c r="M4" s="55" t="n"/>
      <c r="N4" s="55" t="n"/>
    </row>
    <row r="5" ht="31.95" customHeight="1" s="128">
      <c r="B5" s="52" t="inlineStr">
        <is>
          <t>Furnizor/configuratie de referinta (daca exista)</t>
        </is>
      </c>
      <c r="C5" s="142" t="n"/>
      <c r="D5" s="143" t="n"/>
      <c r="E5" s="143" t="n"/>
      <c r="F5" s="143" t="n"/>
      <c r="G5" s="143" t="n"/>
      <c r="H5" s="143" t="n"/>
      <c r="I5" s="143" t="n"/>
      <c r="J5" s="143" t="n"/>
      <c r="K5" s="143" t="n"/>
      <c r="L5" s="144" t="n"/>
      <c r="M5" s="55" t="n"/>
      <c r="N5" s="55" t="n"/>
    </row>
    <row r="6" ht="30" customHeight="1" s="128">
      <c r="B6" s="52" t="inlineStr">
        <is>
          <t>Capacitate nominala (ml / g)</t>
        </is>
      </c>
      <c r="C6" s="145" t="n"/>
      <c r="D6" s="143" t="n"/>
      <c r="E6" s="143" t="n"/>
      <c r="F6" s="143" t="n"/>
      <c r="G6" s="143" t="n"/>
      <c r="H6" s="143" t="n"/>
      <c r="I6" s="143" t="n"/>
      <c r="J6" s="143" t="n"/>
      <c r="K6" s="143" t="n"/>
      <c r="L6" s="144" t="n"/>
      <c r="M6" s="55" t="n"/>
      <c r="N6" s="55" t="n"/>
    </row>
    <row r="7" ht="34.05" customHeight="1" s="128">
      <c r="B7" s="52" t="inlineStr">
        <is>
          <t>Dimensiuni principale (diametru x inaltime, mm)</t>
        </is>
      </c>
      <c r="C7" s="145" t="n"/>
      <c r="D7" s="143" t="n"/>
      <c r="E7" s="143" t="n"/>
      <c r="F7" s="143" t="n"/>
      <c r="G7" s="143" t="n"/>
      <c r="H7" s="143" t="n"/>
      <c r="I7" s="143" t="n"/>
      <c r="J7" s="143" t="n"/>
      <c r="K7" s="143" t="n"/>
      <c r="L7" s="144" t="n"/>
      <c r="M7" s="55" t="n"/>
      <c r="N7" s="55" t="n"/>
    </row>
    <row r="8" ht="34.05" customHeight="1" s="128">
      <c r="B8" s="52" t="inlineStr">
        <is>
          <t>Documente disponibile (fisa tehnica, desen, poze, declaratii)</t>
        </is>
      </c>
      <c r="C8" s="145" t="n"/>
      <c r="D8" s="143" t="n"/>
      <c r="E8" s="143" t="n"/>
      <c r="F8" s="143" t="n"/>
      <c r="G8" s="143" t="n"/>
      <c r="H8" s="143" t="n"/>
      <c r="I8" s="143" t="n"/>
      <c r="J8" s="143" t="n"/>
      <c r="K8" s="143" t="n"/>
      <c r="L8" s="144" t="n"/>
      <c r="M8" s="55" t="n"/>
      <c r="N8" s="55" t="n"/>
    </row>
    <row r="9" ht="19.5" customHeight="1" s="128">
      <c r="B9" s="35" t="inlineStr">
        <is>
          <t>2. Produse / SKU-uri care folosesc aceasta unitate</t>
        </is>
      </c>
      <c r="C9" s="35" t="n"/>
      <c r="D9" s="35" t="n"/>
      <c r="E9" s="36" t="n"/>
      <c r="F9" s="36" t="n"/>
      <c r="G9" s="36" t="n"/>
      <c r="H9" s="36" t="n"/>
      <c r="I9" s="36" t="n"/>
      <c r="J9" s="36" t="n"/>
      <c r="K9" s="36" t="n"/>
      <c r="L9" s="36" t="n"/>
      <c r="M9" s="51" t="n"/>
      <c r="N9" s="51" t="n"/>
    </row>
    <row r="10" ht="30" customHeight="1" s="128">
      <c r="B10" s="3" t="inlineStr">
        <is>
          <t>Denumire produs / SKU</t>
        </is>
      </c>
      <c r="C10" s="102" t="inlineStr">
        <is>
          <t>Volum anual estimat (buc/an)</t>
        </is>
      </c>
      <c r="D10" s="102" t="inlineStr">
        <is>
          <t>Frecventa comenzilor</t>
        </is>
      </c>
      <c r="E10" s="102" t="inlineStr">
        <is>
          <t>Observatii</t>
        </is>
      </c>
      <c r="F10" s="146" t="n"/>
      <c r="G10" s="146" t="n"/>
      <c r="H10" s="146" t="n"/>
      <c r="I10" s="146" t="n"/>
      <c r="J10" s="146" t="n"/>
      <c r="K10" s="146" t="n"/>
      <c r="L10" s="146" t="n"/>
      <c r="M10" s="50" t="n"/>
      <c r="N10" s="50" t="n"/>
    </row>
    <row r="11" ht="30" customHeight="1" s="128">
      <c r="B11" s="42" t="n"/>
      <c r="C11" s="67" t="n"/>
      <c r="D11" s="53" t="n"/>
      <c r="E11" s="104" t="n"/>
      <c r="F11" s="143" t="n"/>
      <c r="G11" s="143" t="n"/>
      <c r="H11" s="143" t="n"/>
      <c r="I11" s="143" t="n"/>
      <c r="J11" s="143" t="n"/>
      <c r="K11" s="143" t="n"/>
      <c r="L11" s="143" t="n"/>
      <c r="M11" s="55" t="n"/>
      <c r="N11" s="55" t="n"/>
    </row>
    <row r="12" ht="30" customHeight="1" s="128">
      <c r="B12" s="42" t="n"/>
      <c r="C12" s="67" t="n"/>
      <c r="D12" s="53" t="n"/>
      <c r="E12" s="104" t="n"/>
      <c r="F12" s="143" t="n"/>
      <c r="G12" s="143" t="n"/>
      <c r="H12" s="143" t="n"/>
      <c r="I12" s="143" t="n"/>
      <c r="J12" s="143" t="n"/>
      <c r="K12" s="143" t="n"/>
      <c r="L12" s="143" t="n"/>
      <c r="M12" s="55" t="n"/>
      <c r="N12" s="55" t="n"/>
    </row>
    <row r="13" ht="30" customHeight="1" s="128">
      <c r="B13" s="42" t="n"/>
      <c r="C13" s="67" t="n"/>
      <c r="D13" s="53" t="n"/>
      <c r="E13" s="104" t="n"/>
      <c r="F13" s="143" t="n"/>
      <c r="G13" s="143" t="n"/>
      <c r="H13" s="143" t="n"/>
      <c r="I13" s="143" t="n"/>
      <c r="J13" s="143" t="n"/>
      <c r="K13" s="143" t="n"/>
      <c r="L13" s="143" t="n"/>
      <c r="M13" s="55" t="n"/>
      <c r="N13" s="55" t="n"/>
    </row>
    <row r="14" ht="30" customHeight="1" s="128">
      <c r="B14" s="64" t="n"/>
      <c r="C14" s="68" t="n"/>
      <c r="D14" s="53" t="n"/>
      <c r="E14" s="104" t="n"/>
      <c r="F14" s="143" t="n"/>
      <c r="G14" s="143" t="n"/>
      <c r="H14" s="143" t="n"/>
      <c r="I14" s="143" t="n"/>
      <c r="J14" s="143" t="n"/>
      <c r="K14" s="143" t="n"/>
      <c r="L14" s="143" t="n"/>
      <c r="M14" s="55" t="n"/>
      <c r="N14" s="55" t="n"/>
    </row>
    <row r="15" ht="24" customHeight="1" s="128">
      <c r="B15" s="65" t="inlineStr">
        <is>
          <t>TOTAL volum anual unitate (automat)</t>
        </is>
      </c>
      <c r="C15" s="66">
        <f>SUM(C11:C14)</f>
        <v/>
      </c>
    </row>
    <row r="16" ht="19.5" customHeight="1" s="128">
      <c r="B16" s="35" t="inlineStr">
        <is>
          <t>3. Componentele unitatii de ambalaj</t>
        </is>
      </c>
      <c r="C16" s="35" t="n"/>
      <c r="D16" s="35" t="n"/>
      <c r="E16" s="35" t="n"/>
      <c r="F16" s="35" t="n"/>
      <c r="G16" s="35" t="n"/>
      <c r="H16" s="35" t="n"/>
      <c r="I16" s="35" t="n"/>
      <c r="J16" s="35" t="n"/>
      <c r="K16" s="35" t="n"/>
      <c r="L16" s="35" t="n"/>
      <c r="M16" s="63" t="n"/>
      <c r="N16" s="63" t="n"/>
    </row>
    <row r="17" ht="49.95" customHeight="1" s="128">
      <c r="B17" s="3" t="inlineStr">
        <is>
          <t>Denumire componenta</t>
        </is>
      </c>
      <c r="C17" s="3" t="inlineStr">
        <is>
          <t>Material</t>
        </is>
      </c>
      <c r="D17" s="3" t="inlineStr">
        <is>
          <t>Culoare</t>
        </is>
      </c>
      <c r="E17" s="3" t="inlineStr">
        <is>
          <t>Greutate (g)</t>
        </is>
      </c>
      <c r="F17" s="3" t="inlineStr">
        <is>
          <t>% reciclabil (0-100%)</t>
        </is>
      </c>
      <c r="G17" s="3" t="inlineStr">
        <is>
          <t>Masa reciclabila (g)</t>
        </is>
      </c>
      <c r="H17" s="3" t="inlineStr">
        <is>
          <t>% continut reciclat (PCR)</t>
        </is>
      </c>
      <c r="I17" s="3" t="inlineStr">
        <is>
          <t>Furnizor</t>
        </is>
      </c>
      <c r="J17" s="3" t="inlineStr">
        <is>
          <t>Tara origine</t>
        </is>
      </c>
      <c r="K17" s="3" t="inlineStr">
        <is>
          <t>Pret unitar (EUR / 1000 buc)</t>
        </is>
      </c>
      <c r="L17" s="102" t="inlineStr">
        <is>
          <t>Observatii / risc</t>
        </is>
      </c>
    </row>
    <row r="18" ht="18" customHeight="1" s="128">
      <c r="B18" s="43" t="n"/>
      <c r="C18" s="44" t="n"/>
      <c r="D18" s="44" t="n"/>
      <c r="E18" s="44" t="n"/>
      <c r="F18" s="45" t="n"/>
      <c r="G18" s="147">
        <f>IF(OR(E18="",F18=""),"",E18*F18)</f>
        <v/>
      </c>
      <c r="H18" s="45" t="n"/>
      <c r="I18" s="44" t="n"/>
      <c r="J18" s="44" t="n"/>
      <c r="K18" s="69" t="n"/>
      <c r="L18" s="59" t="n"/>
    </row>
    <row r="19" ht="18" customHeight="1" s="128">
      <c r="B19" s="43" t="n"/>
      <c r="C19" s="44" t="n"/>
      <c r="D19" s="44" t="n"/>
      <c r="E19" s="44" t="n"/>
      <c r="F19" s="45" t="n"/>
      <c r="G19" s="147">
        <f>IF(OR(E19="",F19=""),"",E19*F19)</f>
        <v/>
      </c>
      <c r="H19" s="45" t="n"/>
      <c r="I19" s="44" t="n"/>
      <c r="J19" s="44" t="n"/>
      <c r="K19" s="69" t="n"/>
      <c r="L19" s="59" t="n"/>
    </row>
    <row r="20" ht="18" customHeight="1" s="128">
      <c r="B20" s="43" t="n"/>
      <c r="C20" s="44" t="n"/>
      <c r="D20" s="44" t="n"/>
      <c r="E20" s="44" t="n"/>
      <c r="F20" s="45" t="n"/>
      <c r="G20" s="147">
        <f>IF(OR(E20="",F20=""),"",E20*F20)</f>
        <v/>
      </c>
      <c r="H20" s="45" t="n"/>
      <c r="I20" s="44" t="n"/>
      <c r="J20" s="44" t="n"/>
      <c r="K20" s="69" t="n"/>
      <c r="L20" s="59" t="n"/>
    </row>
    <row r="21" ht="18" customHeight="1" s="128">
      <c r="B21" s="43" t="n"/>
      <c r="C21" s="44" t="n"/>
      <c r="D21" s="44" t="n"/>
      <c r="E21" s="44" t="n"/>
      <c r="F21" s="45" t="n"/>
      <c r="G21" s="147">
        <f>IF(OR(E21="",F21=""),"",E21*F21)</f>
        <v/>
      </c>
      <c r="H21" s="45" t="n"/>
      <c r="I21" s="44" t="n"/>
      <c r="J21" s="44" t="n"/>
      <c r="K21" s="69" t="n"/>
      <c r="L21" s="59" t="n"/>
    </row>
    <row r="22" ht="18" customHeight="1" s="128">
      <c r="B22" s="43" t="n"/>
      <c r="C22" s="44" t="n"/>
      <c r="D22" s="44" t="n"/>
      <c r="E22" s="44" t="n"/>
      <c r="F22" s="45" t="n"/>
      <c r="G22" s="147">
        <f>IF(OR(E22="",F22=""),"",E22*F22)</f>
        <v/>
      </c>
      <c r="H22" s="45" t="n"/>
      <c r="I22" s="44" t="n"/>
      <c r="J22" s="44" t="n"/>
      <c r="K22" s="69" t="n"/>
      <c r="L22" s="59" t="n"/>
    </row>
    <row r="23" ht="18" customHeight="1" s="128">
      <c r="B23" s="43" t="n"/>
      <c r="C23" s="44" t="n"/>
      <c r="D23" s="44" t="n"/>
      <c r="E23" s="44" t="n"/>
      <c r="F23" s="45" t="n"/>
      <c r="G23" s="147">
        <f>IF(OR(E23="",F23=""),"",E23*F23)</f>
        <v/>
      </c>
      <c r="H23" s="45" t="n"/>
      <c r="I23" s="44" t="n"/>
      <c r="J23" s="44" t="n"/>
      <c r="K23" s="69" t="n"/>
      <c r="L23" s="59" t="n"/>
    </row>
    <row r="24" ht="18" customHeight="1" s="128">
      <c r="B24" s="43" t="n"/>
      <c r="C24" s="44" t="n"/>
      <c r="D24" s="44" t="n"/>
      <c r="E24" s="44" t="n"/>
      <c r="F24" s="45" t="n"/>
      <c r="G24" s="147">
        <f>IF(OR(E24="",F24=""),"",E24*F24)</f>
        <v/>
      </c>
      <c r="H24" s="45" t="n"/>
      <c r="I24" s="44" t="n"/>
      <c r="J24" s="44" t="n"/>
      <c r="K24" s="69" t="n"/>
      <c r="L24" s="59" t="n"/>
    </row>
    <row r="25" ht="18" customHeight="1" s="128">
      <c r="B25" s="43" t="n"/>
      <c r="C25" s="44" t="n"/>
      <c r="D25" s="44" t="n"/>
      <c r="E25" s="44" t="n"/>
      <c r="F25" s="45" t="n"/>
      <c r="G25" s="147">
        <f>IF(OR(E25="",F25=""),"",E25*F25)</f>
        <v/>
      </c>
      <c r="H25" s="45" t="n"/>
      <c r="I25" s="44" t="n"/>
      <c r="J25" s="44" t="n"/>
      <c r="K25" s="69" t="n"/>
      <c r="L25" s="59" t="n"/>
    </row>
    <row r="26" ht="19.5" customHeight="1" s="128">
      <c r="B26" s="116" t="inlineStr">
        <is>
          <t>TOTAL unitate (greutate si masa reciclabila)</t>
        </is>
      </c>
      <c r="C26" s="146" t="n"/>
      <c r="D26" s="131" t="n"/>
      <c r="E26" s="148">
        <f>SUM(E18:E25)</f>
        <v/>
      </c>
      <c r="F26" s="40" t="n"/>
      <c r="G26" s="148">
        <f>SUM(G18:G25)</f>
        <v/>
      </c>
      <c r="H26" s="40" t="n"/>
      <c r="I26" s="40" t="n"/>
      <c r="J26" s="40" t="n"/>
      <c r="K26" s="40" t="n"/>
      <c r="L26" s="60" t="n"/>
      <c r="M26" s="61" t="n"/>
      <c r="N26" s="61" t="n"/>
    </row>
    <row r="27" ht="19.5" customHeight="1" s="128">
      <c r="B27" s="116" t="inlineStr">
        <is>
          <t>% reciclabil ponderat pe greutate (automat)</t>
        </is>
      </c>
      <c r="C27" s="146" t="n"/>
      <c r="D27" s="131" t="n"/>
      <c r="E27" s="149">
        <f>IFERROR(G26/E26,"-")</f>
        <v/>
      </c>
    </row>
    <row r="28" ht="30" customHeight="1" s="128">
      <c r="B28" s="116" t="inlineStr">
        <is>
          <t>Clasa de reciclabilitate calculata (A ≥95% / B ≥80% / C ≥70%)</t>
        </is>
      </c>
      <c r="C28" s="146" t="n"/>
      <c r="D28" s="131" t="n"/>
      <c r="E28" s="150">
        <f>IF(NOT(ISNUMBER(E27)),"-",IF(E27&gt;=0.95,"A",IF(E27&gt;=0.8,"B",IF(E27&gt;=0.7,"C","Sub 70% - nereciclabil"))))</f>
        <v/>
      </c>
      <c r="F28" s="146" t="n"/>
      <c r="G28" s="131" t="n"/>
    </row>
    <row r="29" ht="34.05" customHeight="1" s="128">
      <c r="B29" s="151" t="inlineStr">
        <is>
          <t>Cost total componente (EUR / 1000 buc) - suma preturilor completate (automat)</t>
        </is>
      </c>
      <c r="C29" s="146" t="n"/>
      <c r="D29" s="131" t="n"/>
      <c r="E29" s="152">
        <f>SUM(K18:K25)</f>
        <v/>
      </c>
      <c r="F29" s="146" t="n"/>
      <c r="G29" s="131" t="n"/>
      <c r="H29" s="70" t="n"/>
      <c r="I29" s="70" t="n"/>
      <c r="J29" s="70" t="n"/>
      <c r="K29" s="70" t="n"/>
      <c r="L29" s="70" t="n"/>
    </row>
    <row r="30" ht="34.05" customHeight="1" s="128">
      <c r="B30" s="151" t="inlineStr">
        <is>
          <t>Material total pus pe piata (kg/an) = greutate x volum anual (automat)</t>
        </is>
      </c>
      <c r="C30" s="146" t="n"/>
      <c r="D30" s="131" t="n"/>
      <c r="E30" s="153">
        <f>IF(OR(N(C15)=0,N(E26)=0),"-",E26*C15/1000)</f>
        <v/>
      </c>
      <c r="F30" s="146" t="n"/>
      <c r="G30" s="131" t="n"/>
      <c r="H30" s="70" t="n"/>
      <c r="I30" s="70" t="n"/>
      <c r="J30" s="70" t="n"/>
      <c r="K30" s="70" t="n"/>
      <c r="L30" s="70" t="n"/>
    </row>
    <row r="32" ht="19.5" customHeight="1" s="128">
      <c r="B32" s="35" t="inlineStr">
        <is>
          <t>4. Cerintele produsului/produselor ambalate</t>
        </is>
      </c>
      <c r="C32" s="35" t="n"/>
      <c r="D32" s="35" t="n"/>
      <c r="E32" s="36" t="n"/>
      <c r="F32" s="36" t="n"/>
      <c r="G32" s="36" t="n"/>
      <c r="H32" s="36" t="n"/>
      <c r="I32" s="36" t="n"/>
      <c r="J32" s="36" t="n"/>
      <c r="K32" s="36" t="n"/>
      <c r="L32" s="36" t="n"/>
      <c r="M32" s="51" t="n"/>
      <c r="N32" s="51" t="n"/>
    </row>
    <row r="33" ht="30" customHeight="1" s="128">
      <c r="B33" s="112" t="inlineStr">
        <is>
          <t>Daca SKU-urile din sectiunea 2 au cerinte diferite, noteaza diferentele in coloana 'Observatii' din tabelul SKU-urilor.</t>
        </is>
      </c>
      <c r="C33" s="154" t="n"/>
      <c r="D33" s="154" t="n"/>
      <c r="E33" s="154" t="n"/>
      <c r="F33" s="154" t="n"/>
      <c r="G33" s="154" t="n"/>
      <c r="H33" s="154" t="n"/>
      <c r="I33" s="154" t="n"/>
      <c r="J33" s="154" t="n"/>
      <c r="K33" s="154" t="n"/>
      <c r="L33" s="154" t="n"/>
      <c r="M33" s="82" t="n"/>
      <c r="N33" s="82" t="n"/>
    </row>
    <row r="34" ht="31.95" customHeight="1" s="128">
      <c r="B34" s="52" t="inlineStr">
        <is>
          <t>Tip produs (lichid / crema-gel / pudra / solid / altul)</t>
        </is>
      </c>
      <c r="C34" s="139" t="n"/>
      <c r="D34" s="140" t="n"/>
      <c r="E34" s="140" t="n"/>
      <c r="F34" s="140" t="n"/>
      <c r="G34" s="140" t="n"/>
      <c r="H34" s="140" t="n"/>
      <c r="I34" s="140" t="n"/>
      <c r="J34" s="140" t="n"/>
      <c r="K34" s="140" t="n"/>
      <c r="L34" s="141" t="n"/>
      <c r="M34" s="55" t="n"/>
      <c r="N34" s="55" t="n"/>
    </row>
    <row r="35" ht="46.95" customHeight="1" s="128">
      <c r="B35" s="52" t="inlineStr">
        <is>
          <t>Categorie reglementata a produsului (alimentar / farma / cosmetic / supliment / altul)</t>
        </is>
      </c>
      <c r="C35" s="145" t="n"/>
      <c r="D35" s="143" t="n"/>
      <c r="E35" s="143" t="n"/>
      <c r="F35" s="143" t="n"/>
      <c r="G35" s="143" t="n"/>
      <c r="H35" s="143" t="n"/>
      <c r="I35" s="143" t="n"/>
      <c r="J35" s="143" t="n"/>
      <c r="K35" s="143" t="n"/>
      <c r="L35" s="144" t="n"/>
      <c r="M35" s="55" t="n"/>
      <c r="N35" s="55" t="n"/>
    </row>
    <row r="36" ht="46.95" customHeight="1" s="128">
      <c r="B36" s="52" t="inlineStr">
        <is>
          <t>Functii cerute ambalajului (pompa, picurator, spray, flip-top, sigiliu, protectie copii)</t>
        </is>
      </c>
      <c r="C36" s="145" t="n"/>
      <c r="D36" s="143" t="n"/>
      <c r="E36" s="143" t="n"/>
      <c r="F36" s="143" t="n"/>
      <c r="G36" s="143" t="n"/>
      <c r="H36" s="143" t="n"/>
      <c r="I36" s="143" t="n"/>
      <c r="J36" s="143" t="n"/>
      <c r="K36" s="143" t="n"/>
      <c r="L36" s="144" t="n"/>
      <c r="M36" s="55" t="n"/>
      <c r="N36" s="55" t="n"/>
    </row>
    <row r="37" ht="30" customHeight="1" s="128">
      <c r="B37" s="52" t="inlineStr">
        <is>
          <t>Sensibilitate la oxigen</t>
        </is>
      </c>
      <c r="C37" s="139" t="n"/>
      <c r="D37" s="140" t="n"/>
      <c r="E37" s="140" t="n"/>
      <c r="F37" s="140" t="n"/>
      <c r="G37" s="140" t="n"/>
      <c r="H37" s="140" t="n"/>
      <c r="I37" s="140" t="n"/>
      <c r="J37" s="140" t="n"/>
      <c r="K37" s="140" t="n"/>
      <c r="L37" s="141" t="n"/>
      <c r="M37" s="55" t="n"/>
      <c r="N37" s="55" t="n"/>
    </row>
    <row r="38" ht="30" customHeight="1" s="128">
      <c r="B38" s="52" t="inlineStr">
        <is>
          <t>Sensibilitate la lumina / UV</t>
        </is>
      </c>
      <c r="C38" s="139" t="n"/>
      <c r="D38" s="140" t="n"/>
      <c r="E38" s="140" t="n"/>
      <c r="F38" s="140" t="n"/>
      <c r="G38" s="140" t="n"/>
      <c r="H38" s="140" t="n"/>
      <c r="I38" s="140" t="n"/>
      <c r="J38" s="140" t="n"/>
      <c r="K38" s="140" t="n"/>
      <c r="L38" s="141" t="n"/>
      <c r="M38" s="55" t="n"/>
      <c r="N38" s="55" t="n"/>
    </row>
    <row r="39" ht="30" customHeight="1" s="128">
      <c r="B39" s="52" t="inlineStr">
        <is>
          <t>Sensibilitate la umiditate</t>
        </is>
      </c>
      <c r="C39" s="139" t="n"/>
      <c r="D39" s="140" t="n"/>
      <c r="E39" s="140" t="n"/>
      <c r="F39" s="140" t="n"/>
      <c r="G39" s="140" t="n"/>
      <c r="H39" s="140" t="n"/>
      <c r="I39" s="140" t="n"/>
      <c r="J39" s="140" t="n"/>
      <c r="K39" s="140" t="n"/>
      <c r="L39" s="141" t="n"/>
      <c r="M39" s="55" t="n"/>
      <c r="N39" s="55" t="n"/>
    </row>
    <row r="40" ht="31.95" customHeight="1" s="128">
      <c r="B40" s="52" t="inlineStr">
        <is>
          <t>Compatibilitate chimica necesara (grasimi, alcool, acizi, uleiuri)</t>
        </is>
      </c>
      <c r="C40" s="139" t="n"/>
      <c r="D40" s="140" t="n"/>
      <c r="E40" s="140" t="n"/>
      <c r="F40" s="140" t="n"/>
      <c r="G40" s="140" t="n"/>
      <c r="H40" s="140" t="n"/>
      <c r="I40" s="140" t="n"/>
      <c r="J40" s="140" t="n"/>
      <c r="K40" s="140" t="n"/>
      <c r="L40" s="141" t="n"/>
      <c r="M40" s="55" t="n"/>
      <c r="N40" s="55" t="n"/>
    </row>
    <row r="41" ht="30" customHeight="1" s="128">
      <c r="B41" s="52" t="inlineStr">
        <is>
          <t>Temperatura de umplere</t>
        </is>
      </c>
      <c r="C41" s="139" t="n"/>
      <c r="D41" s="140" t="n"/>
      <c r="E41" s="140" t="n"/>
      <c r="F41" s="140" t="n"/>
      <c r="G41" s="140" t="n"/>
      <c r="H41" s="140" t="n"/>
      <c r="I41" s="140" t="n"/>
      <c r="J41" s="140" t="n"/>
      <c r="K41" s="140" t="n"/>
      <c r="L41" s="141" t="n"/>
      <c r="M41" s="55" t="n"/>
      <c r="N41" s="55" t="n"/>
    </row>
    <row r="42" ht="30" customHeight="1" s="128">
      <c r="B42" s="52" t="inlineStr">
        <is>
          <t>Temperatura / conditii de depozitare</t>
        </is>
      </c>
      <c r="C42" s="139" t="n"/>
      <c r="D42" s="140" t="n"/>
      <c r="E42" s="140" t="n"/>
      <c r="F42" s="140" t="n"/>
      <c r="G42" s="140" t="n"/>
      <c r="H42" s="140" t="n"/>
      <c r="I42" s="140" t="n"/>
      <c r="J42" s="140" t="n"/>
      <c r="K42" s="140" t="n"/>
      <c r="L42" s="141" t="n"/>
      <c r="M42" s="55" t="n"/>
      <c r="N42" s="55" t="n"/>
    </row>
    <row r="43" ht="30" customHeight="1" s="128">
      <c r="B43" s="52" t="inlineStr">
        <is>
          <t>Valabilitate / shelf-life dorita</t>
        </is>
      </c>
      <c r="C43" s="142" t="n"/>
      <c r="D43" s="143" t="n"/>
      <c r="E43" s="143" t="n"/>
      <c r="F43" s="143" t="n"/>
      <c r="G43" s="143" t="n"/>
      <c r="H43" s="143" t="n"/>
      <c r="I43" s="143" t="n"/>
      <c r="J43" s="143" t="n"/>
      <c r="K43" s="143" t="n"/>
      <c r="L43" s="144" t="n"/>
      <c r="M43" s="55" t="n"/>
      <c r="N43" s="55" t="n"/>
    </row>
    <row r="45" ht="19.5" customHeight="1" s="128">
      <c r="B45" s="35" t="inlineStr">
        <is>
          <t>5. Procesul de ambalare si utilajele clientului</t>
        </is>
      </c>
      <c r="C45" s="35" t="n"/>
      <c r="D45" s="35" t="n"/>
      <c r="E45" s="36" t="n"/>
      <c r="F45" s="36" t="n"/>
      <c r="G45" s="36" t="n"/>
      <c r="H45" s="36" t="n"/>
      <c r="I45" s="36" t="n"/>
      <c r="J45" s="36" t="n"/>
      <c r="K45" s="36" t="n"/>
      <c r="L45" s="36" t="n"/>
      <c r="M45" s="51" t="n"/>
      <c r="N45" s="51" t="n"/>
    </row>
    <row r="46" ht="31.95" customHeight="1" s="128">
      <c r="B46" s="52" t="inlineStr">
        <is>
          <t>Tip linie de ambalare (automata / semi-automata / manuala)</t>
        </is>
      </c>
      <c r="C46" s="139" t="n"/>
      <c r="D46" s="140" t="n"/>
      <c r="E46" s="140" t="n"/>
      <c r="F46" s="140" t="n"/>
      <c r="G46" s="140" t="n"/>
      <c r="H46" s="140" t="n"/>
      <c r="I46" s="140" t="n"/>
      <c r="J46" s="140" t="n"/>
      <c r="K46" s="140" t="n"/>
      <c r="L46" s="141" t="n"/>
      <c r="M46" s="55" t="n"/>
      <c r="N46" s="55" t="n"/>
    </row>
    <row r="47" ht="30" customHeight="1" s="128">
      <c r="B47" s="52" t="inlineStr">
        <is>
          <t>Viteza linie (buc/min)</t>
        </is>
      </c>
      <c r="C47" s="139" t="n"/>
      <c r="D47" s="140" t="n"/>
      <c r="E47" s="140" t="n"/>
      <c r="F47" s="140" t="n"/>
      <c r="G47" s="140" t="n"/>
      <c r="H47" s="140" t="n"/>
      <c r="I47" s="140" t="n"/>
      <c r="J47" s="140" t="n"/>
      <c r="K47" s="140" t="n"/>
      <c r="L47" s="141" t="n"/>
      <c r="M47" s="55" t="n"/>
      <c r="N47" s="55" t="n"/>
    </row>
    <row r="48" ht="31.95" customHeight="1" s="128">
      <c r="B48" s="52" t="inlineStr">
        <is>
          <t>Tip umplere (volumetrica, la rece/cald, aseptica)</t>
        </is>
      </c>
      <c r="C48" s="139" t="n"/>
      <c r="D48" s="140" t="n"/>
      <c r="E48" s="140" t="n"/>
      <c r="F48" s="140" t="n"/>
      <c r="G48" s="140" t="n"/>
      <c r="H48" s="140" t="n"/>
      <c r="I48" s="140" t="n"/>
      <c r="J48" s="140" t="n"/>
      <c r="K48" s="140" t="n"/>
      <c r="L48" s="141" t="n"/>
      <c r="M48" s="55" t="n"/>
      <c r="N48" s="55" t="n"/>
    </row>
    <row r="49" ht="31.95" customHeight="1" s="128">
      <c r="B49" s="52" t="inlineStr">
        <is>
          <t>Tip inchidere folosit pe linie (infoliere, capsare, presare, inductie)</t>
        </is>
      </c>
      <c r="C49" s="139" t="n"/>
      <c r="D49" s="140" t="n"/>
      <c r="E49" s="140" t="n"/>
      <c r="F49" s="140" t="n"/>
      <c r="G49" s="140" t="n"/>
      <c r="H49" s="140" t="n"/>
      <c r="I49" s="140" t="n"/>
      <c r="J49" s="140" t="n"/>
      <c r="K49" s="140" t="n"/>
      <c r="L49" s="141" t="n"/>
      <c r="M49" s="55" t="n"/>
      <c r="N49" s="55" t="n"/>
    </row>
    <row r="50" ht="31.95" customHeight="1" s="128">
      <c r="B50" s="52" t="inlineStr">
        <is>
          <t>Cod gat / finisaj compatibil cu echipamentul existent</t>
        </is>
      </c>
      <c r="C50" s="139" t="n"/>
      <c r="D50" s="140" t="n"/>
      <c r="E50" s="140" t="n"/>
      <c r="F50" s="140" t="n"/>
      <c r="G50" s="140" t="n"/>
      <c r="H50" s="140" t="n"/>
      <c r="I50" s="140" t="n"/>
      <c r="J50" s="140" t="n"/>
      <c r="K50" s="140" t="n"/>
      <c r="L50" s="141" t="n"/>
      <c r="M50" s="55" t="n"/>
      <c r="N50" s="55" t="n"/>
    </row>
    <row r="51" ht="31.95" customHeight="1" s="128">
      <c r="B51" s="52" t="inlineStr">
        <is>
          <t>Tip etichetare folosit (aplicator rece/cald, sleeve, manual)</t>
        </is>
      </c>
      <c r="C51" s="139" t="n"/>
      <c r="D51" s="140" t="n"/>
      <c r="E51" s="140" t="n"/>
      <c r="F51" s="140" t="n"/>
      <c r="G51" s="140" t="n"/>
      <c r="H51" s="140" t="n"/>
      <c r="I51" s="140" t="n"/>
      <c r="J51" s="140" t="n"/>
      <c r="K51" s="140" t="n"/>
      <c r="L51" s="141" t="n"/>
      <c r="M51" s="55" t="n"/>
      <c r="N51" s="55" t="n"/>
    </row>
    <row r="52" ht="30" customHeight="1" s="128">
      <c r="B52" s="52" t="inlineStr">
        <is>
          <t>Ambalaj secundar / paletizare</t>
        </is>
      </c>
      <c r="C52" s="139" t="n"/>
      <c r="D52" s="140" t="n"/>
      <c r="E52" s="140" t="n"/>
      <c r="F52" s="140" t="n"/>
      <c r="G52" s="140" t="n"/>
      <c r="H52" s="140" t="n"/>
      <c r="I52" s="140" t="n"/>
      <c r="J52" s="140" t="n"/>
      <c r="K52" s="140" t="n"/>
      <c r="L52" s="141" t="n"/>
      <c r="M52" s="55" t="n"/>
      <c r="N52" s="55" t="n"/>
    </row>
    <row r="53" ht="31.95" customHeight="1" s="128">
      <c r="B53" s="52" t="inlineStr">
        <is>
          <t>Limitari cunoscute ale liniei (greutate maxima, diametru, inaltime)</t>
        </is>
      </c>
      <c r="C53" s="142" t="n"/>
      <c r="D53" s="143" t="n"/>
      <c r="E53" s="143" t="n"/>
      <c r="F53" s="143" t="n"/>
      <c r="G53" s="143" t="n"/>
      <c r="H53" s="143" t="n"/>
      <c r="I53" s="143" t="n"/>
      <c r="J53" s="143" t="n"/>
      <c r="K53" s="143" t="n"/>
      <c r="L53" s="144" t="n"/>
      <c r="M53" s="55" t="n"/>
      <c r="N53" s="55" t="n"/>
    </row>
    <row r="55" ht="19.5" customHeight="1" s="128">
      <c r="B55" s="35" t="inlineStr">
        <is>
          <t>6. Analiza de risc si conformitate PPWR — completata de MIRALEDO, impreuna cu clientul</t>
        </is>
      </c>
      <c r="C55" s="35" t="n"/>
      <c r="D55" s="35" t="n"/>
      <c r="E55" s="36" t="n"/>
      <c r="F55" s="36" t="n"/>
      <c r="G55" s="36" t="n"/>
      <c r="H55" s="36" t="n"/>
      <c r="I55" s="36" t="n"/>
      <c r="J55" s="36" t="n"/>
      <c r="K55" s="36" t="n"/>
      <c r="L55" s="36" t="n"/>
      <c r="M55" s="51" t="n"/>
      <c r="N55" s="51" t="n"/>
    </row>
    <row r="56" ht="30" customHeight="1" s="128">
      <c r="B56" s="112" t="inlineStr">
        <is>
          <t>Evaluare comerciala interna MIRALEDO a ambalajului ACTUAL. Nu reprezinta o certificare oficiala PPWR (nu exista asa ceva) - clasa de la sectiunea 3 e calculata din datele introduse pentru fiecare componenta.</t>
        </is>
      </c>
      <c r="C56" s="154" t="n"/>
      <c r="D56" s="154" t="n"/>
      <c r="E56" s="154" t="n"/>
      <c r="F56" s="154" t="n"/>
      <c r="G56" s="154" t="n"/>
      <c r="H56" s="154" t="n"/>
      <c r="I56" s="154" t="n"/>
      <c r="J56" s="154" t="n"/>
      <c r="K56" s="154" t="n"/>
      <c r="L56" s="154" t="n"/>
      <c r="M56" s="82" t="n"/>
      <c r="N56" s="82" t="n"/>
    </row>
    <row r="57" ht="31.95" customHeight="1" s="128">
      <c r="B57" s="52" t="inlineStr">
        <is>
          <t>Testare substante restrictionate (PFAS etc.) efectuata?</t>
        </is>
      </c>
      <c r="C57" s="139" t="n"/>
      <c r="D57" s="140" t="n"/>
      <c r="E57" s="140" t="n"/>
      <c r="F57" s="140" t="n"/>
      <c r="G57" s="140" t="n"/>
      <c r="H57" s="140" t="n"/>
      <c r="I57" s="140" t="n"/>
      <c r="J57" s="140" t="n"/>
      <c r="K57" s="140" t="n"/>
      <c r="L57" s="141" t="n"/>
      <c r="M57" s="55" t="n"/>
      <c r="N57" s="55" t="n"/>
    </row>
    <row r="58" ht="45" customHeight="1" s="128">
      <c r="B58" s="52" t="inlineStr">
        <is>
          <t>Documentatie de conformitate disponibila (documentatie tehnica - Anexa VII; declaratie UE - Anexa VIII)</t>
        </is>
      </c>
      <c r="C58" s="139" t="n"/>
      <c r="D58" s="140" t="n"/>
      <c r="E58" s="140" t="n"/>
      <c r="F58" s="140" t="n"/>
      <c r="G58" s="140" t="n"/>
      <c r="H58" s="140" t="n"/>
      <c r="I58" s="140" t="n"/>
      <c r="J58" s="140" t="n"/>
      <c r="K58" s="140" t="n"/>
      <c r="L58" s="141" t="n"/>
      <c r="M58" s="55" t="n"/>
      <c r="N58" s="55" t="n"/>
    </row>
    <row r="59" ht="31.95" customHeight="1" s="128">
      <c r="B59" s="52" t="inlineStr">
        <is>
          <t>Expunere la restrictii de format PPWR (Anexa V)</t>
        </is>
      </c>
      <c r="C59" s="139" t="n"/>
      <c r="D59" s="140" t="n"/>
      <c r="E59" s="140" t="n"/>
      <c r="F59" s="140" t="n"/>
      <c r="G59" s="140" t="n"/>
      <c r="H59" s="140" t="n"/>
      <c r="I59" s="140" t="n"/>
      <c r="J59" s="140" t="n"/>
      <c r="K59" s="140" t="n"/>
      <c r="L59" s="141" t="n"/>
      <c r="M59" s="55" t="n"/>
      <c r="N59" s="55" t="n"/>
    </row>
    <row r="60" ht="31.95" customHeight="1" s="128">
      <c r="B60" s="52" t="inlineStr">
        <is>
          <t>Aplicabilitate obligatii reutilizare / reumplere (2027-2030)</t>
        </is>
      </c>
      <c r="C60" s="139" t="n"/>
      <c r="D60" s="140" t="n"/>
      <c r="E60" s="140" t="n"/>
      <c r="F60" s="140" t="n"/>
      <c r="G60" s="140" t="n"/>
      <c r="H60" s="140" t="n"/>
      <c r="I60" s="140" t="n"/>
      <c r="J60" s="140" t="n"/>
      <c r="K60" s="140" t="n"/>
      <c r="L60" s="141" t="n"/>
      <c r="M60" s="55" t="n"/>
      <c r="N60" s="55" t="n"/>
    </row>
    <row r="61" ht="31.95" customHeight="1" s="128">
      <c r="B61" s="52" t="inlineStr">
        <is>
          <t>Nivel de risc PPWR (Ridicat / Mediu / Scazut)</t>
        </is>
      </c>
      <c r="C61" s="139" t="n"/>
      <c r="D61" s="140" t="n"/>
      <c r="E61" s="140" t="n"/>
      <c r="F61" s="140" t="n"/>
      <c r="G61" s="140" t="n"/>
      <c r="H61" s="140" t="n"/>
      <c r="I61" s="140" t="n"/>
      <c r="J61" s="140" t="n"/>
      <c r="K61" s="140" t="n"/>
      <c r="L61" s="141" t="n"/>
      <c r="M61" s="55" t="n"/>
      <c r="N61" s="55" t="n"/>
    </row>
    <row r="62" ht="30" customHeight="1" s="128">
      <c r="B62" s="52" t="inlineStr">
        <is>
          <t>Motivatie risc identificat</t>
        </is>
      </c>
      <c r="C62" s="139" t="n"/>
      <c r="D62" s="140" t="n"/>
      <c r="E62" s="140" t="n"/>
      <c r="F62" s="140" t="n"/>
      <c r="G62" s="140" t="n"/>
      <c r="H62" s="140" t="n"/>
      <c r="I62" s="140" t="n"/>
      <c r="J62" s="140" t="n"/>
      <c r="K62" s="140" t="n"/>
      <c r="L62" s="141" t="n"/>
      <c r="M62" s="55" t="n"/>
      <c r="N62" s="55" t="n"/>
    </row>
    <row r="63" ht="31.95" customHeight="1" s="128">
      <c r="B63" s="52" t="inlineStr">
        <is>
          <t>Oportunitati de imbunatatire propuse de MIRALEDO</t>
        </is>
      </c>
      <c r="C63" s="139" t="n"/>
      <c r="D63" s="140" t="n"/>
      <c r="E63" s="140" t="n"/>
      <c r="F63" s="140" t="n"/>
      <c r="G63" s="140" t="n"/>
      <c r="H63" s="140" t="n"/>
      <c r="I63" s="140" t="n"/>
      <c r="J63" s="140" t="n"/>
      <c r="K63" s="140" t="n"/>
      <c r="L63" s="141" t="n"/>
      <c r="M63" s="55" t="n"/>
      <c r="N63" s="55" t="n"/>
    </row>
    <row r="64" ht="31.95" customHeight="1" s="128">
      <c r="B64" s="52" t="inlineStr">
        <is>
          <t>Beneficiu estimat (cost EPR, conformitate, imagine)</t>
        </is>
      </c>
      <c r="C64" s="139" t="n"/>
      <c r="D64" s="140" t="n"/>
      <c r="E64" s="140" t="n"/>
      <c r="F64" s="140" t="n"/>
      <c r="G64" s="140" t="n"/>
      <c r="H64" s="140" t="n"/>
      <c r="I64" s="140" t="n"/>
      <c r="J64" s="140" t="n"/>
      <c r="K64" s="140" t="n"/>
      <c r="L64" s="141" t="n"/>
      <c r="M64" s="55" t="n"/>
      <c r="N64" s="55" t="n"/>
    </row>
    <row r="65" ht="30" customHeight="1" s="128">
      <c r="B65" s="52" t="inlineStr">
        <is>
          <t>Termen legal relevant / urgenta</t>
        </is>
      </c>
      <c r="C65" s="142" t="n"/>
      <c r="D65" s="143" t="n"/>
      <c r="E65" s="143" t="n"/>
      <c r="F65" s="143" t="n"/>
      <c r="G65" s="143" t="n"/>
      <c r="H65" s="143" t="n"/>
      <c r="I65" s="143" t="n"/>
      <c r="J65" s="143" t="n"/>
      <c r="K65" s="143" t="n"/>
      <c r="L65" s="144" t="n"/>
      <c r="M65" s="55" t="n"/>
      <c r="N65" s="55" t="n"/>
    </row>
    <row r="67" ht="19.5" customHeight="1" s="128">
      <c r="B67" s="35" t="inlineStr">
        <is>
          <t>7. Comercial si pasi urmatori — sectiune interna MIRALEDO</t>
        </is>
      </c>
      <c r="C67" s="35" t="n"/>
      <c r="D67" s="35" t="n"/>
      <c r="E67" s="36" t="n"/>
      <c r="F67" s="36" t="n"/>
      <c r="G67" s="36" t="n"/>
      <c r="H67" s="36" t="n"/>
      <c r="I67" s="36" t="n"/>
      <c r="J67" s="36" t="n"/>
      <c r="K67" s="36" t="n"/>
      <c r="L67" s="36" t="n"/>
      <c r="M67" s="51" t="n"/>
      <c r="N67" s="51" t="n"/>
    </row>
    <row r="68" ht="30" customHeight="1" s="128">
      <c r="B68" s="52" t="inlineStr">
        <is>
          <t>Pret tinta client (unitate completa, EUR / 1000 buc)</t>
        </is>
      </c>
      <c r="C68" s="139" t="n"/>
      <c r="D68" s="140" t="n"/>
      <c r="E68" s="140" t="n"/>
      <c r="F68" s="140" t="n"/>
      <c r="G68" s="140" t="n"/>
      <c r="H68" s="140" t="n"/>
      <c r="I68" s="140" t="n"/>
      <c r="J68" s="140" t="n"/>
      <c r="K68" s="140" t="n"/>
      <c r="L68" s="141" t="n"/>
      <c r="M68" s="55" t="n"/>
      <c r="N68" s="55" t="n"/>
    </row>
    <row r="69" ht="30" customHeight="1" s="128">
      <c r="B69" s="52" t="inlineStr">
        <is>
          <t>Conditii de livrare (Incoterms)</t>
        </is>
      </c>
      <c r="C69" s="139" t="n"/>
      <c r="D69" s="140" t="n"/>
      <c r="E69" s="140" t="n"/>
      <c r="F69" s="140" t="n"/>
      <c r="G69" s="140" t="n"/>
      <c r="H69" s="140" t="n"/>
      <c r="I69" s="140" t="n"/>
      <c r="J69" s="140" t="n"/>
      <c r="K69" s="140" t="n"/>
      <c r="L69" s="141" t="n"/>
      <c r="M69" s="55" t="n"/>
      <c r="N69" s="55" t="n"/>
    </row>
    <row r="70" ht="31.95" customHeight="1" s="128">
      <c r="B70" s="52" t="inlineStr">
        <is>
          <t>Problema / nevoie identificata la client</t>
        </is>
      </c>
      <c r="C70" s="139" t="n"/>
      <c r="D70" s="140" t="n"/>
      <c r="E70" s="140" t="n"/>
      <c r="F70" s="140" t="n"/>
      <c r="G70" s="140" t="n"/>
      <c r="H70" s="140" t="n"/>
      <c r="I70" s="140" t="n"/>
      <c r="J70" s="140" t="n"/>
      <c r="K70" s="140" t="n"/>
      <c r="L70" s="141" t="n"/>
      <c r="M70" s="55" t="n"/>
      <c r="N70" s="55" t="n"/>
    </row>
    <row r="71" ht="31.95" customHeight="1" s="128">
      <c r="B71" s="52" t="inlineStr">
        <is>
          <t>Stadiu pipeline (vezi Sales Pipeline CRM)</t>
        </is>
      </c>
      <c r="C71" s="139" t="n"/>
      <c r="D71" s="140" t="n"/>
      <c r="E71" s="140" t="n"/>
      <c r="F71" s="140" t="n"/>
      <c r="G71" s="140" t="n"/>
      <c r="H71" s="140" t="n"/>
      <c r="I71" s="140" t="n"/>
      <c r="J71" s="140" t="n"/>
      <c r="K71" s="140" t="n"/>
      <c r="L71" s="141" t="n"/>
      <c r="M71" s="55" t="n"/>
      <c r="N71" s="55" t="n"/>
    </row>
    <row r="72" ht="30" customHeight="1" s="128">
      <c r="B72" s="52" t="inlineStr">
        <is>
          <t>Urmatoarea actiune</t>
        </is>
      </c>
      <c r="C72" s="139" t="n"/>
      <c r="D72" s="140" t="n"/>
      <c r="E72" s="140" t="n"/>
      <c r="F72" s="140" t="n"/>
      <c r="G72" s="140" t="n"/>
      <c r="H72" s="140" t="n"/>
      <c r="I72" s="140" t="n"/>
      <c r="J72" s="140" t="n"/>
      <c r="K72" s="140" t="n"/>
      <c r="L72" s="141" t="n"/>
      <c r="M72" s="55" t="n"/>
      <c r="N72" s="55" t="n"/>
    </row>
    <row r="73" ht="30" customHeight="1" s="128">
      <c r="B73" s="52" t="inlineStr">
        <is>
          <t>Data urmatorului follow-up</t>
        </is>
      </c>
      <c r="C73" s="142" t="n"/>
      <c r="D73" s="143" t="n"/>
      <c r="E73" s="143" t="n"/>
      <c r="F73" s="143" t="n"/>
      <c r="G73" s="143" t="n"/>
      <c r="H73" s="143" t="n"/>
      <c r="I73" s="143" t="n"/>
      <c r="J73" s="143" t="n"/>
      <c r="K73" s="143" t="n"/>
      <c r="L73" s="144" t="n"/>
      <c r="M73" s="55" t="n"/>
      <c r="N73" s="55" t="n"/>
    </row>
    <row r="76" ht="18" customHeight="1" s="128">
      <c r="B76" s="54" t="inlineStr">
        <is>
          <t>Observatii</t>
        </is>
      </c>
      <c r="C76" s="155" t="n"/>
      <c r="D76" s="140" t="n"/>
      <c r="E76" s="140" t="n"/>
      <c r="F76" s="140" t="n"/>
      <c r="G76" s="140" t="n"/>
      <c r="H76" s="140" t="n"/>
      <c r="I76" s="140" t="n"/>
      <c r="J76" s="140" t="n"/>
      <c r="K76" s="140" t="n"/>
      <c r="L76" s="141" t="n"/>
      <c r="M76" s="4" t="n"/>
      <c r="N76" s="4" t="n"/>
    </row>
    <row r="77" ht="18" customHeight="1" s="128">
      <c r="C77" s="156" t="n"/>
      <c r="D77" s="157" t="n"/>
      <c r="E77" s="157" t="n"/>
      <c r="F77" s="157" t="n"/>
      <c r="G77" s="157" t="n"/>
      <c r="H77" s="157" t="n"/>
      <c r="I77" s="157" t="n"/>
      <c r="J77" s="157" t="n"/>
      <c r="K77" s="157" t="n"/>
      <c r="L77" s="158" t="n"/>
      <c r="M77" s="4" t="n"/>
      <c r="N77" s="4" t="n"/>
    </row>
    <row r="78" ht="18" customHeight="1" s="128">
      <c r="C78" s="159" t="n"/>
      <c r="D78" s="160" t="n"/>
      <c r="E78" s="160" t="n"/>
      <c r="F78" s="160" t="n"/>
      <c r="G78" s="160" t="n"/>
      <c r="H78" s="160" t="n"/>
      <c r="I78" s="160" t="n"/>
      <c r="J78" s="160" t="n"/>
      <c r="K78" s="160" t="n"/>
      <c r="L78" s="161" t="n"/>
      <c r="M78" s="4" t="n"/>
      <c r="N78" s="4" t="n"/>
    </row>
  </sheetData>
  <sheetProtection selectLockedCells="0" selectUnlockedCells="0" sheet="1" objects="1" insertRows="1" insertHyperlinks="1" autoFilter="1" scenarios="1" formatColumns="0" deleteColumns="1" insertColumns="1" pivotTables="1" deleteRows="1" formatCells="1" formatRows="0" sort="1"/>
  <mergeCells count="54">
    <mergeCell ref="C71:L71"/>
    <mergeCell ref="E12:L12"/>
    <mergeCell ref="E28:G28"/>
    <mergeCell ref="C61:L61"/>
    <mergeCell ref="C39:L39"/>
    <mergeCell ref="C52:L52"/>
    <mergeCell ref="C70:L70"/>
    <mergeCell ref="C8:L8"/>
    <mergeCell ref="C48:L48"/>
    <mergeCell ref="C7:L7"/>
    <mergeCell ref="E14:L14"/>
    <mergeCell ref="E30:G30"/>
    <mergeCell ref="C76:L78"/>
    <mergeCell ref="B29:D29"/>
    <mergeCell ref="C38:L38"/>
    <mergeCell ref="C72:L72"/>
    <mergeCell ref="B56:L56"/>
    <mergeCell ref="C57:L57"/>
    <mergeCell ref="C37:L37"/>
    <mergeCell ref="B28:D28"/>
    <mergeCell ref="C53:L53"/>
    <mergeCell ref="C69:L69"/>
    <mergeCell ref="C49:L49"/>
    <mergeCell ref="E10:L10"/>
    <mergeCell ref="C68:L68"/>
    <mergeCell ref="C34:L34"/>
    <mergeCell ref="B30:D30"/>
    <mergeCell ref="E13:L13"/>
    <mergeCell ref="C6:L6"/>
    <mergeCell ref="C62:L62"/>
    <mergeCell ref="C42:L42"/>
    <mergeCell ref="C58:L58"/>
    <mergeCell ref="C5:L5"/>
    <mergeCell ref="C73:L73"/>
    <mergeCell ref="C4:L4"/>
    <mergeCell ref="C64:L64"/>
    <mergeCell ref="E11:L11"/>
    <mergeCell ref="B26:D26"/>
    <mergeCell ref="C35:L35"/>
    <mergeCell ref="C63:L63"/>
    <mergeCell ref="C65:L65"/>
    <mergeCell ref="C47:L47"/>
    <mergeCell ref="C50:L50"/>
    <mergeCell ref="C41:L41"/>
    <mergeCell ref="C40:L40"/>
    <mergeCell ref="B33:L33"/>
    <mergeCell ref="B27:D27"/>
    <mergeCell ref="C59:L59"/>
    <mergeCell ref="C43:L43"/>
    <mergeCell ref="C51:L51"/>
    <mergeCell ref="C46:L46"/>
    <mergeCell ref="E29:G29"/>
    <mergeCell ref="C60:L60"/>
    <mergeCell ref="C36:L36"/>
  </mergeCells>
  <dataValidations count="6">
    <dataValidation sqref="E18:E25" showDropDown="0" showInputMessage="1" showErrorMessage="1" allowBlank="1" errorTitle="Valoare invalida" error="Greutatea se scrie in grame, ca numar pozitiv (ex: 12 sau 1,5)." type="decimal">
      <formula1>0</formula1>
      <formula2>100000</formula2>
    </dataValidation>
    <dataValidation sqref="F18:F25" showDropDown="0" showInputMessage="1" showErrorMessage="1" allowBlank="1" errorTitle="Valoare invalida" error="Scrieti un procent intre 0% si 100% (ex: 60%)." type="decimal">
      <formula1>0</formula1>
      <formula2>1</formula2>
    </dataValidation>
    <dataValidation sqref="H18:H25" showDropDown="0" showInputMessage="1" showErrorMessage="1" allowBlank="1" errorTitle="Valoare invalida" error="Scrieti un procent intre 0% si 100% (ex: 30%)." type="decimal">
      <formula1>0</formula1>
      <formula2>1</formula2>
    </dataValidation>
    <dataValidation sqref="C11:C14" showDropDown="0" showInputMessage="1" showErrorMessage="1" allowBlank="1" errorTitle="Valoare invalida" error="Scrieti volumul anual ca numar (buc/an), fara text." type="decimal" operator="greaterThanOrEqual">
      <formula1>0</formula1>
    </dataValidation>
    <dataValidation sqref="C35" showDropDown="0" showInputMessage="1" showErrorMessage="1" allowBlank="1" errorTitle="Valoare invalida" error="Valoarea nu este in lista. Puteti continua daca este intentionat." type="list" errorStyle="information">
      <formula1>"Alimentar,Farma,Cosmetic,Supliment alimentar,Altul"</formula1>
    </dataValidation>
    <dataValidation sqref="K18:K25" showDropDown="0" showInputMessage="1" showErrorMessage="1" allowBlank="1" errorTitle="Valoare invalida" error="Scrieti pretul ca numar in EUR / 1000 buc (ex: 300)." type="decimal" operator="greaterThanOrEqual">
      <formula1>0</formula1>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B2:N78"/>
  <sheetViews>
    <sheetView showGridLines="0" topLeftCell="A17" zoomScaleNormal="100" workbookViewId="0">
      <selection activeCell="A1" sqref="A1"/>
    </sheetView>
  </sheetViews>
  <sheetFormatPr baseColWidth="8" defaultColWidth="8.6640625" defaultRowHeight="14.4"/>
  <cols>
    <col width="3" customWidth="1" style="128" min="1" max="1"/>
    <col width="38.88671875" customWidth="1" style="128" min="2" max="2"/>
    <col width="18.5546875" customWidth="1" style="128" min="3" max="3"/>
    <col width="15.77734375" customWidth="1" style="128" min="4" max="4"/>
    <col width="11.44140625" customWidth="1" style="128" min="5" max="5"/>
    <col width="13" customWidth="1" style="128" min="6" max="6"/>
    <col width="12.5546875" customWidth="1" style="128" min="7" max="7"/>
    <col width="13.33203125" customWidth="1" style="128" min="8" max="8"/>
    <col width="15.77734375" customWidth="1" style="128" min="9" max="9"/>
    <col width="14.77734375" customWidth="1" style="128" min="10" max="10"/>
    <col width="17.5546875" customWidth="1" style="128" min="11" max="11"/>
    <col width="27.77734375" customWidth="1" style="128" min="12" max="12"/>
    <col width="11.109375" customWidth="1" style="128" min="13" max="13"/>
    <col width="25.88671875" customWidth="1" style="128" min="14" max="14"/>
    <col width="3" customWidth="1" style="128" min="15" max="15"/>
  </cols>
  <sheetData>
    <row r="1" ht="15" customHeight="1" s="128"/>
    <row r="2" ht="27.75" customHeight="1" s="128">
      <c r="B2" s="129" t="inlineStr">
        <is>
          <t>Fisa de analiza — unitate de ambalaj</t>
        </is>
      </c>
      <c r="C2" s="129" t="n"/>
      <c r="D2" s="129" t="n"/>
      <c r="E2" s="34" t="n"/>
      <c r="F2" s="34" t="n"/>
      <c r="G2" s="34" t="n"/>
      <c r="H2" s="34" t="n"/>
      <c r="I2" s="34" t="n"/>
      <c r="J2" s="34" t="n"/>
      <c r="K2" s="34" t="n"/>
      <c r="L2" s="34" t="n"/>
    </row>
    <row r="3" ht="19.5" customHeight="1" s="128">
      <c r="B3" s="35" t="inlineStr">
        <is>
          <t>1. Identificare unitate de ambalaj</t>
        </is>
      </c>
      <c r="C3" s="35" t="n"/>
      <c r="D3" s="35" t="n"/>
      <c r="E3" s="36" t="n"/>
      <c r="F3" s="36" t="n"/>
      <c r="G3" s="36" t="n"/>
      <c r="H3" s="36" t="n"/>
      <c r="I3" s="36" t="n"/>
      <c r="J3" s="36" t="n"/>
      <c r="K3" s="36" t="n"/>
      <c r="L3" s="36" t="n"/>
      <c r="M3" s="51" t="n"/>
      <c r="N3" s="51" t="n"/>
    </row>
    <row r="4" ht="31.95" customHeight="1" s="128">
      <c r="B4" s="52" t="inlineStr">
        <is>
          <t>Denumire unitate (pe baza componentelor)</t>
        </is>
      </c>
      <c r="C4" s="162" t="inlineStr">
        <is>
          <t>Borcan sticla 50ml transparent + capac alb PP + eticheta hartie</t>
        </is>
      </c>
      <c r="D4" s="140" t="n"/>
      <c r="E4" s="140" t="n"/>
      <c r="F4" s="140" t="n"/>
      <c r="G4" s="140" t="n"/>
      <c r="H4" s="140" t="n"/>
      <c r="I4" s="140" t="n"/>
      <c r="J4" s="140" t="n"/>
      <c r="K4" s="140" t="n"/>
      <c r="L4" s="141" t="n"/>
      <c r="M4" s="57" t="n"/>
      <c r="N4" s="57" t="n"/>
    </row>
    <row r="5" ht="31.95" customHeight="1" s="128">
      <c r="B5" s="52" t="inlineStr">
        <is>
          <t>Furnizor/configuratie de referinta (daca exista)</t>
        </is>
      </c>
      <c r="C5" s="163" t="inlineStr">
        <is>
          <t>Furnizor X (flacon) / Furnizor Y (capac)</t>
        </is>
      </c>
      <c r="D5" s="143" t="n"/>
      <c r="E5" s="143" t="n"/>
      <c r="F5" s="143" t="n"/>
      <c r="G5" s="143" t="n"/>
      <c r="H5" s="143" t="n"/>
      <c r="I5" s="143" t="n"/>
      <c r="J5" s="143" t="n"/>
      <c r="K5" s="143" t="n"/>
      <c r="L5" s="144" t="n"/>
      <c r="M5" s="57" t="n"/>
      <c r="N5" s="57" t="n"/>
    </row>
    <row r="6" ht="30" customHeight="1" s="128">
      <c r="B6" s="52" t="inlineStr">
        <is>
          <t>Capacitate nominala (ml / g)</t>
        </is>
      </c>
      <c r="C6" s="164" t="inlineStr">
        <is>
          <t>50 ml</t>
        </is>
      </c>
      <c r="D6" s="143" t="n"/>
      <c r="E6" s="143" t="n"/>
      <c r="F6" s="143" t="n"/>
      <c r="G6" s="143" t="n"/>
      <c r="H6" s="143" t="n"/>
      <c r="I6" s="143" t="n"/>
      <c r="J6" s="143" t="n"/>
      <c r="K6" s="143" t="n"/>
      <c r="L6" s="144" t="n"/>
      <c r="M6" s="57" t="n"/>
      <c r="N6" s="57" t="n"/>
    </row>
    <row r="7" ht="34.05" customHeight="1" s="128">
      <c r="B7" s="52" t="inlineStr">
        <is>
          <t>Dimensiuni principale (diametru x inaltime, mm)</t>
        </is>
      </c>
      <c r="C7" s="164" t="inlineStr">
        <is>
          <t>Ø 55 mm x H 60 mm</t>
        </is>
      </c>
      <c r="D7" s="143" t="n"/>
      <c r="E7" s="143" t="n"/>
      <c r="F7" s="143" t="n"/>
      <c r="G7" s="143" t="n"/>
      <c r="H7" s="143" t="n"/>
      <c r="I7" s="143" t="n"/>
      <c r="J7" s="143" t="n"/>
      <c r="K7" s="143" t="n"/>
      <c r="L7" s="144" t="n"/>
      <c r="M7" s="57" t="n"/>
      <c r="N7" s="57" t="n"/>
    </row>
    <row r="8" ht="34.05" customHeight="1" s="128">
      <c r="B8" s="52" t="inlineStr">
        <is>
          <t>Documente disponibile (fisa tehnica, desen, poze, declaratii)</t>
        </is>
      </c>
      <c r="C8" s="164" t="inlineStr">
        <is>
          <t>Fisa tehnica: da (Furnizor X); desen tehnic: nu</t>
        </is>
      </c>
      <c r="D8" s="143" t="n"/>
      <c r="E8" s="143" t="n"/>
      <c r="F8" s="143" t="n"/>
      <c r="G8" s="143" t="n"/>
      <c r="H8" s="143" t="n"/>
      <c r="I8" s="143" t="n"/>
      <c r="J8" s="143" t="n"/>
      <c r="K8" s="143" t="n"/>
      <c r="L8" s="144" t="n"/>
      <c r="M8" s="57" t="n"/>
      <c r="N8" s="57" t="n"/>
    </row>
    <row r="9" ht="19.5" customHeight="1" s="128">
      <c r="B9" s="35" t="inlineStr">
        <is>
          <t>2. Produse / SKU-uri care folosesc aceasta unitate</t>
        </is>
      </c>
      <c r="C9" s="35" t="n"/>
      <c r="D9" s="35" t="n"/>
      <c r="E9" s="36" t="n"/>
      <c r="F9" s="36" t="n"/>
      <c r="G9" s="36" t="n"/>
      <c r="H9" s="36" t="n"/>
      <c r="I9" s="36" t="n"/>
      <c r="J9" s="36" t="n"/>
      <c r="K9" s="36" t="n"/>
      <c r="L9" s="36" t="n"/>
      <c r="M9" s="51" t="n"/>
      <c r="N9" s="51" t="n"/>
    </row>
    <row r="10" ht="30" customHeight="1" s="128">
      <c r="B10" s="3" t="inlineStr">
        <is>
          <t>Denumire produs / SKU</t>
        </is>
      </c>
      <c r="C10" s="102" t="inlineStr">
        <is>
          <t>Volum anual estimat (buc/an)</t>
        </is>
      </c>
      <c r="D10" s="102" t="inlineStr">
        <is>
          <t>Frecventa comenzilor</t>
        </is>
      </c>
      <c r="E10" s="102" t="inlineStr">
        <is>
          <t>Observatii</t>
        </is>
      </c>
      <c r="F10" s="146" t="n"/>
      <c r="G10" s="146" t="n"/>
      <c r="H10" s="146" t="n"/>
      <c r="I10" s="146" t="n"/>
      <c r="J10" s="146" t="n"/>
      <c r="K10" s="146" t="n"/>
      <c r="L10" s="146" t="n"/>
      <c r="M10" s="50" t="n"/>
      <c r="N10" s="50" t="n"/>
    </row>
    <row r="11" ht="30" customHeight="1" s="128">
      <c r="B11" s="46" t="inlineStr">
        <is>
          <t>Crema de fata 50ml</t>
        </is>
      </c>
      <c r="C11" s="71" t="n">
        <v>300000</v>
      </c>
      <c r="D11" s="56" t="inlineStr">
        <is>
          <t>Trimestrial</t>
        </is>
      </c>
      <c r="E11" s="120" t="inlineStr">
        <is>
          <t>-</t>
        </is>
      </c>
      <c r="F11" s="143" t="n"/>
      <c r="G11" s="143" t="n"/>
      <c r="H11" s="143" t="n"/>
      <c r="I11" s="143" t="n"/>
      <c r="J11" s="143" t="n"/>
      <c r="K11" s="143" t="n"/>
      <c r="L11" s="143" t="n"/>
      <c r="M11" s="58" t="n"/>
      <c r="N11" s="58" t="n"/>
    </row>
    <row r="12" ht="30" customHeight="1" s="128">
      <c r="B12" s="46" t="inlineStr">
        <is>
          <t>Ser facial 50ml (acelasi flacon)</t>
        </is>
      </c>
      <c r="C12" s="71" t="n">
        <v>120000</v>
      </c>
      <c r="D12" s="56" t="inlineStr">
        <is>
          <t>Trimestrial</t>
        </is>
      </c>
      <c r="E12" s="120" t="inlineStr">
        <is>
          <t>Eticheta diferita</t>
        </is>
      </c>
      <c r="F12" s="143" t="n"/>
      <c r="G12" s="143" t="n"/>
      <c r="H12" s="143" t="n"/>
      <c r="I12" s="143" t="n"/>
      <c r="J12" s="143" t="n"/>
      <c r="K12" s="143" t="n"/>
      <c r="L12" s="143" t="n"/>
      <c r="M12" s="58" t="n"/>
      <c r="N12" s="58" t="n"/>
    </row>
    <row r="13" ht="30" customHeight="1" s="128">
      <c r="B13" s="42" t="n"/>
      <c r="C13" s="67" t="n"/>
      <c r="D13" s="53" t="n"/>
      <c r="E13" s="104" t="n"/>
      <c r="F13" s="143" t="n"/>
      <c r="G13" s="143" t="n"/>
      <c r="H13" s="143" t="n"/>
      <c r="I13" s="143" t="n"/>
      <c r="J13" s="143" t="n"/>
      <c r="K13" s="143" t="n"/>
      <c r="L13" s="143" t="n"/>
      <c r="M13" s="55" t="n"/>
      <c r="N13" s="55" t="n"/>
    </row>
    <row r="14" ht="30" customHeight="1" s="128">
      <c r="B14" s="64" t="n"/>
      <c r="C14" s="68" t="n"/>
      <c r="D14" s="53" t="n"/>
      <c r="E14" s="104" t="n"/>
      <c r="F14" s="143" t="n"/>
      <c r="G14" s="143" t="n"/>
      <c r="H14" s="143" t="n"/>
      <c r="I14" s="143" t="n"/>
      <c r="J14" s="143" t="n"/>
      <c r="K14" s="143" t="n"/>
      <c r="L14" s="143" t="n"/>
      <c r="M14" s="55" t="n"/>
      <c r="N14" s="55" t="n"/>
    </row>
    <row r="15" ht="24" customHeight="1" s="128">
      <c r="B15" s="65" t="inlineStr">
        <is>
          <t>TOTAL volum anual unitate (automat)</t>
        </is>
      </c>
      <c r="C15" s="66">
        <f>SUM(C11:C14)</f>
        <v/>
      </c>
    </row>
    <row r="16" ht="19.5" customHeight="1" s="128">
      <c r="B16" s="35" t="inlineStr">
        <is>
          <t>3. Componentele unitatii de ambalaj</t>
        </is>
      </c>
      <c r="C16" s="35" t="n"/>
      <c r="D16" s="35" t="n"/>
      <c r="E16" s="35" t="n"/>
      <c r="F16" s="35" t="n"/>
      <c r="G16" s="35" t="n"/>
      <c r="H16" s="35" t="n"/>
      <c r="I16" s="35" t="n"/>
      <c r="J16" s="35" t="n"/>
      <c r="K16" s="35" t="n"/>
      <c r="L16" s="35" t="n"/>
      <c r="M16" s="63" t="n"/>
      <c r="N16" s="63" t="n"/>
    </row>
    <row r="17" ht="49.95" customHeight="1" s="128">
      <c r="B17" s="3" t="inlineStr">
        <is>
          <t>Denumire componenta</t>
        </is>
      </c>
      <c r="C17" s="3" t="inlineStr">
        <is>
          <t>Material</t>
        </is>
      </c>
      <c r="D17" s="3" t="inlineStr">
        <is>
          <t>Culoare</t>
        </is>
      </c>
      <c r="E17" s="3" t="inlineStr">
        <is>
          <t>Greutate (g)</t>
        </is>
      </c>
      <c r="F17" s="3" t="inlineStr">
        <is>
          <t>% reciclabil (0-100%)</t>
        </is>
      </c>
      <c r="G17" s="3" t="inlineStr">
        <is>
          <t>Masa reciclabila (g)</t>
        </is>
      </c>
      <c r="H17" s="3" t="inlineStr">
        <is>
          <t>% continut reciclat (PCR)</t>
        </is>
      </c>
      <c r="I17" s="3" t="inlineStr">
        <is>
          <t>Furnizor</t>
        </is>
      </c>
      <c r="J17" s="3" t="inlineStr">
        <is>
          <t>Tara origine</t>
        </is>
      </c>
      <c r="K17" s="3" t="inlineStr">
        <is>
          <t>Pret unitar (EUR / 1000 buc)</t>
        </is>
      </c>
      <c r="L17" s="102" t="inlineStr">
        <is>
          <t>Observatii / risc</t>
        </is>
      </c>
    </row>
    <row r="18" ht="34.05" customHeight="1" s="128">
      <c r="B18" s="47" t="inlineStr">
        <is>
          <t>Flacon/borcan</t>
        </is>
      </c>
      <c r="C18" s="48" t="inlineStr">
        <is>
          <t>Sticla flint</t>
        </is>
      </c>
      <c r="D18" s="48" t="inlineStr">
        <is>
          <t>Transparent</t>
        </is>
      </c>
      <c r="E18" s="48" t="n">
        <v>85</v>
      </c>
      <c r="F18" s="49" t="n">
        <v>1</v>
      </c>
      <c r="G18" s="147">
        <f>IF(OR(E18="",F18=""),"",E18*F18)</f>
        <v/>
      </c>
      <c r="H18" s="49" t="n"/>
      <c r="I18" s="48" t="inlineStr">
        <is>
          <t>Furnizor X</t>
        </is>
      </c>
      <c r="J18" s="48" t="inlineStr">
        <is>
          <t>UE</t>
        </is>
      </c>
      <c r="K18" s="72" t="n">
        <v>300</v>
      </c>
      <c r="L18" s="120" t="n"/>
    </row>
    <row r="19" ht="34.05" customHeight="1" s="128">
      <c r="B19" s="47" t="inlineStr">
        <is>
          <t>Capac</t>
        </is>
      </c>
      <c r="C19" s="48" t="inlineStr">
        <is>
          <t>PP</t>
        </is>
      </c>
      <c r="D19" s="48" t="inlineStr">
        <is>
          <t>Alb</t>
        </is>
      </c>
      <c r="E19" s="48" t="n">
        <v>12</v>
      </c>
      <c r="F19" s="49" t="n">
        <v>0.6</v>
      </c>
      <c r="G19" s="147">
        <f>IF(OR(E19="",F19=""),"",E19*F19)</f>
        <v/>
      </c>
      <c r="H19" s="49" t="n">
        <v>0</v>
      </c>
      <c r="I19" s="48" t="inlineStr">
        <is>
          <t>Furnizor Y</t>
        </is>
      </c>
      <c r="J19" s="48" t="inlineStr">
        <is>
          <t>UE</t>
        </is>
      </c>
      <c r="K19" s="72" t="n">
        <v>50</v>
      </c>
      <c r="L19" s="120" t="n"/>
    </row>
    <row r="20" ht="34.05" customHeight="1" s="128">
      <c r="B20" s="47" t="inlineStr">
        <is>
          <t>Eticheta</t>
        </is>
      </c>
      <c r="C20" s="48" t="inlineStr">
        <is>
          <t>Hartie + adeziv</t>
        </is>
      </c>
      <c r="D20" s="48" t="inlineStr">
        <is>
          <t>Alb/print</t>
        </is>
      </c>
      <c r="E20" s="48" t="n">
        <v>1.5</v>
      </c>
      <c r="F20" s="49" t="n">
        <v>0</v>
      </c>
      <c r="G20" s="147">
        <f>IF(OR(E20="",F20=""),"",E20*F20)</f>
        <v/>
      </c>
      <c r="H20" s="49" t="n"/>
      <c r="I20" s="48" t="inlineStr">
        <is>
          <t>Furnizor Z</t>
        </is>
      </c>
      <c r="J20" s="48" t="inlineStr">
        <is>
          <t>Romania</t>
        </is>
      </c>
      <c r="K20" s="72" t="n">
        <v>20</v>
      </c>
      <c r="L20" s="120" t="inlineStr">
        <is>
          <t>Lipita direct - nu se separa manual</t>
        </is>
      </c>
    </row>
    <row r="21" ht="34.05" customHeight="1" s="128">
      <c r="B21" s="43" t="n"/>
      <c r="C21" s="44" t="n"/>
      <c r="D21" s="44" t="n"/>
      <c r="E21" s="44" t="n"/>
      <c r="F21" s="45" t="n"/>
      <c r="G21" s="147">
        <f>IF(OR(E21="",F21=""),"",E21*F21)</f>
        <v/>
      </c>
      <c r="H21" s="45" t="n"/>
      <c r="I21" s="44" t="n"/>
      <c r="J21" s="44" t="n"/>
      <c r="K21" s="69" t="n"/>
      <c r="L21" s="59" t="n"/>
    </row>
    <row r="22" ht="34.05" customHeight="1" s="128">
      <c r="B22" s="43" t="n"/>
      <c r="C22" s="44" t="n"/>
      <c r="D22" s="44" t="n"/>
      <c r="E22" s="44" t="n"/>
      <c r="F22" s="45" t="n"/>
      <c r="G22" s="147">
        <f>IF(OR(E22="",F22=""),"",E22*F22)</f>
        <v/>
      </c>
      <c r="H22" s="45" t="n"/>
      <c r="I22" s="44" t="n"/>
      <c r="J22" s="44" t="n"/>
      <c r="K22" s="69" t="n"/>
      <c r="L22" s="59" t="n"/>
    </row>
    <row r="23" ht="34.05" customHeight="1" s="128">
      <c r="B23" s="43" t="n"/>
      <c r="C23" s="44" t="n"/>
      <c r="D23" s="44" t="n"/>
      <c r="E23" s="44" t="n"/>
      <c r="F23" s="45" t="n"/>
      <c r="G23" s="147">
        <f>IF(OR(E23="",F23=""),"",E23*F23)</f>
        <v/>
      </c>
      <c r="H23" s="45" t="n"/>
      <c r="I23" s="44" t="n"/>
      <c r="J23" s="44" t="n"/>
      <c r="K23" s="69" t="n"/>
      <c r="L23" s="59" t="n"/>
    </row>
    <row r="24" ht="34.05" customHeight="1" s="128">
      <c r="B24" s="43" t="n"/>
      <c r="C24" s="44" t="n"/>
      <c r="D24" s="44" t="n"/>
      <c r="E24" s="44" t="n"/>
      <c r="F24" s="45" t="n"/>
      <c r="G24" s="147">
        <f>IF(OR(E24="",F24=""),"",E24*F24)</f>
        <v/>
      </c>
      <c r="H24" s="45" t="n"/>
      <c r="I24" s="44" t="n"/>
      <c r="J24" s="44" t="n"/>
      <c r="K24" s="69" t="n"/>
      <c r="L24" s="59" t="n"/>
    </row>
    <row r="25" ht="34.05" customHeight="1" s="128">
      <c r="B25" s="43" t="n"/>
      <c r="C25" s="44" t="n"/>
      <c r="D25" s="44" t="n"/>
      <c r="E25" s="44" t="n"/>
      <c r="F25" s="45" t="n"/>
      <c r="G25" s="147">
        <f>IF(OR(E25="",F25=""),"",E25*F25)</f>
        <v/>
      </c>
      <c r="H25" s="45" t="n"/>
      <c r="I25" s="44" t="n"/>
      <c r="J25" s="44" t="n"/>
      <c r="K25" s="69" t="n"/>
      <c r="L25" s="59" t="n"/>
    </row>
    <row r="26" ht="19.5" customHeight="1" s="128">
      <c r="B26" s="116" t="inlineStr">
        <is>
          <t>TOTAL unitate (greutate si masa reciclabila)</t>
        </is>
      </c>
      <c r="C26" s="146" t="n"/>
      <c r="D26" s="131" t="n"/>
      <c r="E26" s="148">
        <f>SUM(E18:E25)</f>
        <v/>
      </c>
      <c r="F26" s="40" t="n"/>
      <c r="G26" s="148">
        <f>SUM(G18:G25)</f>
        <v/>
      </c>
      <c r="H26" s="40" t="n"/>
      <c r="I26" s="40" t="n"/>
      <c r="J26" s="40" t="n"/>
      <c r="K26" s="40" t="n"/>
      <c r="L26" s="60" t="n"/>
      <c r="M26" s="61" t="n"/>
      <c r="N26" s="61" t="n"/>
    </row>
    <row r="27" ht="19.5" customHeight="1" s="128">
      <c r="B27" s="116" t="inlineStr">
        <is>
          <t>% reciclabil ponderat pe greutate (automat)</t>
        </is>
      </c>
      <c r="C27" s="146" t="n"/>
      <c r="D27" s="131" t="n"/>
      <c r="E27" s="149">
        <f>IFERROR(G26/E26,"-")</f>
        <v/>
      </c>
    </row>
    <row r="28" ht="30" customHeight="1" s="128">
      <c r="B28" s="116" t="inlineStr">
        <is>
          <t>Clasa de reciclabilitate calculata (A ≥95% / B ≥80% / C ≥70%)</t>
        </is>
      </c>
      <c r="C28" s="146" t="n"/>
      <c r="D28" s="131" t="n"/>
      <c r="E28" s="150">
        <f>IF(NOT(ISNUMBER(E27)),"-",IF(E27&gt;=0.95,"A",IF(E27&gt;=0.8,"B",IF(E27&gt;=0.7,"C","Sub 70% - nereciclabil"))))</f>
        <v/>
      </c>
      <c r="F28" s="146" t="n"/>
      <c r="G28" s="131" t="n"/>
    </row>
    <row r="29" ht="34.05" customHeight="1" s="128">
      <c r="B29" s="151" t="inlineStr">
        <is>
          <t>Cost total componente (EUR / 1000 buc) - suma preturilor completate (automat)</t>
        </is>
      </c>
      <c r="C29" s="146" t="n"/>
      <c r="D29" s="131" t="n"/>
      <c r="E29" s="152">
        <f>SUM(K18:K25)</f>
        <v/>
      </c>
      <c r="F29" s="146" t="n"/>
      <c r="G29" s="131" t="n"/>
      <c r="H29" s="70" t="n"/>
      <c r="I29" s="70" t="n"/>
      <c r="J29" s="70" t="n"/>
      <c r="K29" s="70" t="n"/>
      <c r="L29" s="70" t="n"/>
    </row>
    <row r="30" ht="34.05" customHeight="1" s="128">
      <c r="B30" s="151" t="inlineStr">
        <is>
          <t>Material total pus pe piata (kg/an) = greutate x volum anual (automat)</t>
        </is>
      </c>
      <c r="C30" s="146" t="n"/>
      <c r="D30" s="131" t="n"/>
      <c r="E30" s="153">
        <f>IF(OR(N(C15)=0,N(E26)=0),"-",E26*C15/1000)</f>
        <v/>
      </c>
      <c r="F30" s="146" t="n"/>
      <c r="G30" s="131" t="n"/>
      <c r="H30" s="70" t="n"/>
      <c r="I30" s="70" t="n"/>
      <c r="J30" s="70" t="n"/>
      <c r="K30" s="70" t="n"/>
      <c r="L30" s="70" t="n"/>
    </row>
    <row r="32" ht="19.5" customHeight="1" s="128">
      <c r="B32" s="35" t="inlineStr">
        <is>
          <t>4. Cerintele produsului/produselor ambalate</t>
        </is>
      </c>
      <c r="C32" s="35" t="n"/>
      <c r="D32" s="35" t="n"/>
      <c r="E32" s="36" t="n"/>
      <c r="F32" s="36" t="n"/>
      <c r="G32" s="36" t="n"/>
      <c r="H32" s="36" t="n"/>
      <c r="I32" s="36" t="n"/>
      <c r="J32" s="36" t="n"/>
      <c r="K32" s="36" t="n"/>
      <c r="L32" s="36" t="n"/>
      <c r="M32" s="51" t="n"/>
      <c r="N32" s="51" t="n"/>
    </row>
    <row r="33" ht="30" customHeight="1" s="128">
      <c r="B33" s="112" t="inlineStr">
        <is>
          <t>Daca SKU-urile din sectiunea 2 au cerinte diferite, noteaza diferentele in coloana 'Observatii' din tabelul SKU-urilor.</t>
        </is>
      </c>
      <c r="C33" s="154" t="n"/>
      <c r="D33" s="154" t="n"/>
      <c r="E33" s="154" t="n"/>
      <c r="F33" s="154" t="n"/>
      <c r="G33" s="154" t="n"/>
      <c r="H33" s="154" t="n"/>
      <c r="I33" s="154" t="n"/>
      <c r="J33" s="154" t="n"/>
      <c r="K33" s="154" t="n"/>
      <c r="L33" s="154" t="n"/>
      <c r="M33" s="82" t="n"/>
      <c r="N33" s="82" t="n"/>
    </row>
    <row r="34" ht="31.95" customHeight="1" s="128">
      <c r="B34" s="52" t="inlineStr">
        <is>
          <t>Tip produs (lichid / crema-gel / pudra / solid / altul)</t>
        </is>
      </c>
      <c r="C34" s="162" t="inlineStr">
        <is>
          <t>Crema (emulsie)</t>
        </is>
      </c>
      <c r="D34" s="140" t="n"/>
      <c r="E34" s="140" t="n"/>
      <c r="F34" s="140" t="n"/>
      <c r="G34" s="140" t="n"/>
      <c r="H34" s="140" t="n"/>
      <c r="I34" s="140" t="n"/>
      <c r="J34" s="140" t="n"/>
      <c r="K34" s="140" t="n"/>
      <c r="L34" s="141" t="n"/>
      <c r="M34" s="57" t="n"/>
      <c r="N34" s="57" t="n"/>
    </row>
    <row r="35" ht="46.95" customHeight="1" s="128">
      <c r="B35" s="52" t="inlineStr">
        <is>
          <t>Categorie reglementata a produsului (alimentar / farma / cosmetic / supliment / altul)</t>
        </is>
      </c>
      <c r="C35" s="164" t="inlineStr">
        <is>
          <t>Cosmetic</t>
        </is>
      </c>
      <c r="D35" s="143" t="n"/>
      <c r="E35" s="143" t="n"/>
      <c r="F35" s="143" t="n"/>
      <c r="G35" s="143" t="n"/>
      <c r="H35" s="143" t="n"/>
      <c r="I35" s="143" t="n"/>
      <c r="J35" s="143" t="n"/>
      <c r="K35" s="143" t="n"/>
      <c r="L35" s="144" t="n"/>
      <c r="M35" s="57" t="n"/>
      <c r="N35" s="57" t="n"/>
    </row>
    <row r="36" ht="46.95" customHeight="1" s="128">
      <c r="B36" s="52" t="inlineStr">
        <is>
          <t>Functii cerute ambalajului (pompa, picurator, spray, flip-top, sigiliu, protectie copii)</t>
        </is>
      </c>
      <c r="C36" s="164" t="inlineStr">
        <is>
          <t>Capac simplu, fara dozator</t>
        </is>
      </c>
      <c r="D36" s="143" t="n"/>
      <c r="E36" s="143" t="n"/>
      <c r="F36" s="143" t="n"/>
      <c r="G36" s="143" t="n"/>
      <c r="H36" s="143" t="n"/>
      <c r="I36" s="143" t="n"/>
      <c r="J36" s="143" t="n"/>
      <c r="K36" s="143" t="n"/>
      <c r="L36" s="144" t="n"/>
      <c r="M36" s="57" t="n"/>
      <c r="N36" s="57" t="n"/>
    </row>
    <row r="37" ht="30" customHeight="1" s="128">
      <c r="B37" s="52" t="inlineStr">
        <is>
          <t>Sensibilitate la oxigen</t>
        </is>
      </c>
      <c r="C37" s="162" t="inlineStr">
        <is>
          <t>Medie - necesita bariera O2</t>
        </is>
      </c>
      <c r="D37" s="140" t="n"/>
      <c r="E37" s="140" t="n"/>
      <c r="F37" s="140" t="n"/>
      <c r="G37" s="140" t="n"/>
      <c r="H37" s="140" t="n"/>
      <c r="I37" s="140" t="n"/>
      <c r="J37" s="140" t="n"/>
      <c r="K37" s="140" t="n"/>
      <c r="L37" s="141" t="n"/>
      <c r="M37" s="57" t="n"/>
      <c r="N37" s="57" t="n"/>
    </row>
    <row r="38" ht="30" customHeight="1" s="128">
      <c r="B38" s="52" t="inlineStr">
        <is>
          <t>Sensibilitate la lumina / UV</t>
        </is>
      </c>
      <c r="C38" s="162" t="inlineStr">
        <is>
          <t>Ridicata - recomandat ambalaj opac sau sticla colorata</t>
        </is>
      </c>
      <c r="D38" s="140" t="n"/>
      <c r="E38" s="140" t="n"/>
      <c r="F38" s="140" t="n"/>
      <c r="G38" s="140" t="n"/>
      <c r="H38" s="140" t="n"/>
      <c r="I38" s="140" t="n"/>
      <c r="J38" s="140" t="n"/>
      <c r="K38" s="140" t="n"/>
      <c r="L38" s="141" t="n"/>
      <c r="M38" s="57" t="n"/>
      <c r="N38" s="57" t="n"/>
    </row>
    <row r="39" ht="30" customHeight="1" s="128">
      <c r="B39" s="52" t="inlineStr">
        <is>
          <t>Sensibilitate la umiditate</t>
        </is>
      </c>
      <c r="C39" s="162" t="inlineStr">
        <is>
          <t>Scazuta</t>
        </is>
      </c>
      <c r="D39" s="140" t="n"/>
      <c r="E39" s="140" t="n"/>
      <c r="F39" s="140" t="n"/>
      <c r="G39" s="140" t="n"/>
      <c r="H39" s="140" t="n"/>
      <c r="I39" s="140" t="n"/>
      <c r="J39" s="140" t="n"/>
      <c r="K39" s="140" t="n"/>
      <c r="L39" s="141" t="n"/>
      <c r="M39" s="57" t="n"/>
      <c r="N39" s="57" t="n"/>
    </row>
    <row r="40" ht="31.95" customHeight="1" s="128">
      <c r="B40" s="52" t="inlineStr">
        <is>
          <t>Compatibilitate chimica necesara (grasimi, alcool, acizi, uleiuri)</t>
        </is>
      </c>
      <c r="C40" s="162" t="inlineStr">
        <is>
          <t>Contine faza uleioasa - testare migrare recomandata</t>
        </is>
      </c>
      <c r="D40" s="140" t="n"/>
      <c r="E40" s="140" t="n"/>
      <c r="F40" s="140" t="n"/>
      <c r="G40" s="140" t="n"/>
      <c r="H40" s="140" t="n"/>
      <c r="I40" s="140" t="n"/>
      <c r="J40" s="140" t="n"/>
      <c r="K40" s="140" t="n"/>
      <c r="L40" s="141" t="n"/>
      <c r="M40" s="57" t="n"/>
      <c r="N40" s="57" t="n"/>
    </row>
    <row r="41" ht="30" customHeight="1" s="128">
      <c r="B41" s="52" t="inlineStr">
        <is>
          <t>Temperatura de umplere</t>
        </is>
      </c>
      <c r="C41" s="162" t="inlineStr">
        <is>
          <t>Rece (sub 30°C)</t>
        </is>
      </c>
      <c r="D41" s="140" t="n"/>
      <c r="E41" s="140" t="n"/>
      <c r="F41" s="140" t="n"/>
      <c r="G41" s="140" t="n"/>
      <c r="H41" s="140" t="n"/>
      <c r="I41" s="140" t="n"/>
      <c r="J41" s="140" t="n"/>
      <c r="K41" s="140" t="n"/>
      <c r="L41" s="141" t="n"/>
      <c r="M41" s="57" t="n"/>
      <c r="N41" s="57" t="n"/>
    </row>
    <row r="42" ht="30" customHeight="1" s="128">
      <c r="B42" s="52" t="inlineStr">
        <is>
          <t>Temperatura / conditii de depozitare</t>
        </is>
      </c>
      <c r="C42" s="162" t="inlineStr">
        <is>
          <t>Temperatura camerei, ferit de lumina directa</t>
        </is>
      </c>
      <c r="D42" s="140" t="n"/>
      <c r="E42" s="140" t="n"/>
      <c r="F42" s="140" t="n"/>
      <c r="G42" s="140" t="n"/>
      <c r="H42" s="140" t="n"/>
      <c r="I42" s="140" t="n"/>
      <c r="J42" s="140" t="n"/>
      <c r="K42" s="140" t="n"/>
      <c r="L42" s="141" t="n"/>
      <c r="M42" s="57" t="n"/>
      <c r="N42" s="57" t="n"/>
    </row>
    <row r="43" ht="30" customHeight="1" s="128">
      <c r="B43" s="52" t="inlineStr">
        <is>
          <t>Valabilitate / shelf-life dorita</t>
        </is>
      </c>
      <c r="C43" s="163" t="inlineStr">
        <is>
          <t>24 luni</t>
        </is>
      </c>
      <c r="D43" s="143" t="n"/>
      <c r="E43" s="143" t="n"/>
      <c r="F43" s="143" t="n"/>
      <c r="G43" s="143" t="n"/>
      <c r="H43" s="143" t="n"/>
      <c r="I43" s="143" t="n"/>
      <c r="J43" s="143" t="n"/>
      <c r="K43" s="143" t="n"/>
      <c r="L43" s="144" t="n"/>
      <c r="M43" s="57" t="n"/>
      <c r="N43" s="57" t="n"/>
    </row>
    <row r="45" ht="19.5" customHeight="1" s="128">
      <c r="B45" s="35" t="inlineStr">
        <is>
          <t>5. Procesul de ambalare si utilajele clientului</t>
        </is>
      </c>
      <c r="C45" s="35" t="n"/>
      <c r="D45" s="35" t="n"/>
      <c r="E45" s="36" t="n"/>
      <c r="F45" s="36" t="n"/>
      <c r="G45" s="36" t="n"/>
      <c r="H45" s="36" t="n"/>
      <c r="I45" s="36" t="n"/>
      <c r="J45" s="36" t="n"/>
      <c r="K45" s="36" t="n"/>
      <c r="L45" s="36" t="n"/>
      <c r="M45" s="51" t="n"/>
      <c r="N45" s="51" t="n"/>
    </row>
    <row r="46" ht="31.95" customHeight="1" s="128">
      <c r="B46" s="52" t="inlineStr">
        <is>
          <t>Tip linie de ambalare (automata / semi-automata / manuala)</t>
        </is>
      </c>
      <c r="C46" s="162" t="inlineStr">
        <is>
          <t>Automata</t>
        </is>
      </c>
      <c r="D46" s="140" t="n"/>
      <c r="E46" s="140" t="n"/>
      <c r="F46" s="140" t="n"/>
      <c r="G46" s="140" t="n"/>
      <c r="H46" s="140" t="n"/>
      <c r="I46" s="140" t="n"/>
      <c r="J46" s="140" t="n"/>
      <c r="K46" s="140" t="n"/>
      <c r="L46" s="141" t="n"/>
      <c r="M46" s="57" t="n"/>
      <c r="N46" s="57" t="n"/>
    </row>
    <row r="47" ht="30" customHeight="1" s="128">
      <c r="B47" s="52" t="inlineStr">
        <is>
          <t>Viteza linie (buc/min)</t>
        </is>
      </c>
      <c r="C47" s="162" t="inlineStr">
        <is>
          <t>60 buc/min</t>
        </is>
      </c>
      <c r="D47" s="140" t="n"/>
      <c r="E47" s="140" t="n"/>
      <c r="F47" s="140" t="n"/>
      <c r="G47" s="140" t="n"/>
      <c r="H47" s="140" t="n"/>
      <c r="I47" s="140" t="n"/>
      <c r="J47" s="140" t="n"/>
      <c r="K47" s="140" t="n"/>
      <c r="L47" s="141" t="n"/>
      <c r="M47" s="57" t="n"/>
      <c r="N47" s="57" t="n"/>
    </row>
    <row r="48" ht="31.95" customHeight="1" s="128">
      <c r="B48" s="52" t="inlineStr">
        <is>
          <t>Tip umplere (volumetrica, la rece/cald, aseptica)</t>
        </is>
      </c>
      <c r="C48" s="162" t="inlineStr">
        <is>
          <t>Volumetrica, la rece</t>
        </is>
      </c>
      <c r="D48" s="140" t="n"/>
      <c r="E48" s="140" t="n"/>
      <c r="F48" s="140" t="n"/>
      <c r="G48" s="140" t="n"/>
      <c r="H48" s="140" t="n"/>
      <c r="I48" s="140" t="n"/>
      <c r="J48" s="140" t="n"/>
      <c r="K48" s="140" t="n"/>
      <c r="L48" s="141" t="n"/>
      <c r="M48" s="57" t="n"/>
      <c r="N48" s="57" t="n"/>
    </row>
    <row r="49" ht="31.95" customHeight="1" s="128">
      <c r="B49" s="52" t="inlineStr">
        <is>
          <t>Tip inchidere folosit pe linie (infoliere, capsare, presare, inductie)</t>
        </is>
      </c>
      <c r="C49" s="162" t="inlineStr">
        <is>
          <t>Capsare prin presare</t>
        </is>
      </c>
      <c r="D49" s="140" t="n"/>
      <c r="E49" s="140" t="n"/>
      <c r="F49" s="140" t="n"/>
      <c r="G49" s="140" t="n"/>
      <c r="H49" s="140" t="n"/>
      <c r="I49" s="140" t="n"/>
      <c r="J49" s="140" t="n"/>
      <c r="K49" s="140" t="n"/>
      <c r="L49" s="141" t="n"/>
      <c r="M49" s="57" t="n"/>
      <c r="N49" s="57" t="n"/>
    </row>
    <row r="50" ht="31.95" customHeight="1" s="128">
      <c r="B50" s="52" t="inlineStr">
        <is>
          <t>Cod gat / finisaj compatibil cu echipamentul existent</t>
        </is>
      </c>
      <c r="C50" s="162" t="inlineStr">
        <is>
          <t>Finisaj GPI 43mm - de confirmat cu desenul tehnic</t>
        </is>
      </c>
      <c r="D50" s="140" t="n"/>
      <c r="E50" s="140" t="n"/>
      <c r="F50" s="140" t="n"/>
      <c r="G50" s="140" t="n"/>
      <c r="H50" s="140" t="n"/>
      <c r="I50" s="140" t="n"/>
      <c r="J50" s="140" t="n"/>
      <c r="K50" s="140" t="n"/>
      <c r="L50" s="141" t="n"/>
      <c r="M50" s="57" t="n"/>
      <c r="N50" s="57" t="n"/>
    </row>
    <row r="51" ht="31.95" customHeight="1" s="128">
      <c r="B51" s="52" t="inlineStr">
        <is>
          <t>Tip etichetare folosit (aplicator rece/cald, sleeve, manual)</t>
        </is>
      </c>
      <c r="C51" s="162" t="inlineStr">
        <is>
          <t>Aplicator adeziv la rece</t>
        </is>
      </c>
      <c r="D51" s="140" t="n"/>
      <c r="E51" s="140" t="n"/>
      <c r="F51" s="140" t="n"/>
      <c r="G51" s="140" t="n"/>
      <c r="H51" s="140" t="n"/>
      <c r="I51" s="140" t="n"/>
      <c r="J51" s="140" t="n"/>
      <c r="K51" s="140" t="n"/>
      <c r="L51" s="141" t="n"/>
      <c r="M51" s="57" t="n"/>
      <c r="N51" s="57" t="n"/>
    </row>
    <row r="52" ht="30" customHeight="1" s="128">
      <c r="B52" s="52" t="inlineStr">
        <is>
          <t>Ambalaj secundar / paletizare</t>
        </is>
      </c>
      <c r="C52" s="162" t="inlineStr">
        <is>
          <t>Cutii de 24 buc, paleti EUR</t>
        </is>
      </c>
      <c r="D52" s="140" t="n"/>
      <c r="E52" s="140" t="n"/>
      <c r="F52" s="140" t="n"/>
      <c r="G52" s="140" t="n"/>
      <c r="H52" s="140" t="n"/>
      <c r="I52" s="140" t="n"/>
      <c r="J52" s="140" t="n"/>
      <c r="K52" s="140" t="n"/>
      <c r="L52" s="141" t="n"/>
      <c r="M52" s="57" t="n"/>
      <c r="N52" s="57" t="n"/>
    </row>
    <row r="53" ht="31.95" customHeight="1" s="128">
      <c r="B53" s="52" t="inlineStr">
        <is>
          <t>Limitari cunoscute ale liniei (greutate maxima, diametru, inaltime)</t>
        </is>
      </c>
      <c r="C53" s="163" t="inlineStr">
        <is>
          <t>Diametru maxim flacon 60mm</t>
        </is>
      </c>
      <c r="D53" s="143" t="n"/>
      <c r="E53" s="143" t="n"/>
      <c r="F53" s="143" t="n"/>
      <c r="G53" s="143" t="n"/>
      <c r="H53" s="143" t="n"/>
      <c r="I53" s="143" t="n"/>
      <c r="J53" s="143" t="n"/>
      <c r="K53" s="143" t="n"/>
      <c r="L53" s="144" t="n"/>
      <c r="M53" s="57" t="n"/>
      <c r="N53" s="57" t="n"/>
    </row>
    <row r="55" ht="19.5" customHeight="1" s="128">
      <c r="B55" s="35" t="inlineStr">
        <is>
          <t>6. Analiza de risc si conformitate PPWR — completata de MIRALEDO, impreuna cu clientul</t>
        </is>
      </c>
      <c r="C55" s="35" t="n"/>
      <c r="D55" s="35" t="n"/>
      <c r="E55" s="36" t="n"/>
      <c r="F55" s="36" t="n"/>
      <c r="G55" s="36" t="n"/>
      <c r="H55" s="36" t="n"/>
      <c r="I55" s="36" t="n"/>
      <c r="J55" s="36" t="n"/>
      <c r="K55" s="36" t="n"/>
      <c r="L55" s="36" t="n"/>
      <c r="M55" s="51" t="n"/>
      <c r="N55" s="51" t="n"/>
    </row>
    <row r="56" ht="30" customHeight="1" s="128">
      <c r="B56" s="112" t="inlineStr">
        <is>
          <t>Evaluare comerciala interna MIRALEDO a ambalajului ACTUAL. Nu reprezinta o certificare oficiala PPWR (nu exista asa ceva) - clasa de la sectiunea 3 e calculata din datele introduse pentru fiecare componenta.</t>
        </is>
      </c>
      <c r="C56" s="154" t="n"/>
      <c r="D56" s="154" t="n"/>
      <c r="E56" s="154" t="n"/>
      <c r="F56" s="154" t="n"/>
      <c r="G56" s="154" t="n"/>
      <c r="H56" s="154" t="n"/>
      <c r="I56" s="154" t="n"/>
      <c r="J56" s="154" t="n"/>
      <c r="K56" s="154" t="n"/>
      <c r="L56" s="154" t="n"/>
      <c r="M56" s="82" t="n"/>
      <c r="N56" s="82" t="n"/>
    </row>
    <row r="57" ht="31.95" customHeight="1" s="128">
      <c r="B57" s="52" t="inlineStr">
        <is>
          <t>Testare substante restrictionate (PFAS etc.) efectuata?</t>
        </is>
      </c>
      <c r="C57" s="162" t="inlineStr">
        <is>
          <t>Nu - nicio testare cunoscuta</t>
        </is>
      </c>
      <c r="D57" s="140" t="n"/>
      <c r="E57" s="140" t="n"/>
      <c r="F57" s="140" t="n"/>
      <c r="G57" s="140" t="n"/>
      <c r="H57" s="140" t="n"/>
      <c r="I57" s="140" t="n"/>
      <c r="J57" s="140" t="n"/>
      <c r="K57" s="140" t="n"/>
      <c r="L57" s="141" t="n"/>
      <c r="M57" s="57" t="n"/>
      <c r="N57" s="57" t="n"/>
    </row>
    <row r="58" ht="45" customHeight="1" s="128">
      <c r="B58" s="52" t="inlineStr">
        <is>
          <t>Documentatie de conformitate disponibila (documentatie tehnica - Anexa VII; declaratie UE - Anexa VIII)</t>
        </is>
      </c>
      <c r="C58" s="162" t="inlineStr">
        <is>
          <t>Nu a fost solicitata</t>
        </is>
      </c>
      <c r="D58" s="140" t="n"/>
      <c r="E58" s="140" t="n"/>
      <c r="F58" s="140" t="n"/>
      <c r="G58" s="140" t="n"/>
      <c r="H58" s="140" t="n"/>
      <c r="I58" s="140" t="n"/>
      <c r="J58" s="140" t="n"/>
      <c r="K58" s="140" t="n"/>
      <c r="L58" s="141" t="n"/>
      <c r="M58" s="57" t="n"/>
      <c r="N58" s="57" t="n"/>
    </row>
    <row r="59" ht="31.95" customHeight="1" s="128">
      <c r="B59" s="52" t="inlineStr">
        <is>
          <t>Expunere la restrictii de format PPWR (Anexa V)</t>
        </is>
      </c>
      <c r="C59" s="162" t="inlineStr">
        <is>
          <t>Nu este cazul pentru acest produs</t>
        </is>
      </c>
      <c r="D59" s="140" t="n"/>
      <c r="E59" s="140" t="n"/>
      <c r="F59" s="140" t="n"/>
      <c r="G59" s="140" t="n"/>
      <c r="H59" s="140" t="n"/>
      <c r="I59" s="140" t="n"/>
      <c r="J59" s="140" t="n"/>
      <c r="K59" s="140" t="n"/>
      <c r="L59" s="141" t="n"/>
      <c r="M59" s="57" t="n"/>
      <c r="N59" s="57" t="n"/>
    </row>
    <row r="60" ht="31.95" customHeight="1" s="128">
      <c r="B60" s="52" t="inlineStr">
        <is>
          <t>Aplicabilitate obligatii reutilizare / reumplere (2027-2030)</t>
        </is>
      </c>
      <c r="C60" s="162" t="inlineStr">
        <is>
          <t>Nu este cazul</t>
        </is>
      </c>
      <c r="D60" s="140" t="n"/>
      <c r="E60" s="140" t="n"/>
      <c r="F60" s="140" t="n"/>
      <c r="G60" s="140" t="n"/>
      <c r="H60" s="140" t="n"/>
      <c r="I60" s="140" t="n"/>
      <c r="J60" s="140" t="n"/>
      <c r="K60" s="140" t="n"/>
      <c r="L60" s="141" t="n"/>
      <c r="M60" s="57" t="n"/>
      <c r="N60" s="57" t="n"/>
    </row>
    <row r="61" ht="31.95" customHeight="1" s="128">
      <c r="B61" s="52" t="inlineStr">
        <is>
          <t>Nivel de risc PPWR (Ridicat / Mediu / Scazut)</t>
        </is>
      </c>
      <c r="C61" s="162" t="inlineStr">
        <is>
          <t>Mediu</t>
        </is>
      </c>
      <c r="D61" s="140" t="n"/>
      <c r="E61" s="140" t="n"/>
      <c r="F61" s="140" t="n"/>
      <c r="G61" s="140" t="n"/>
      <c r="H61" s="140" t="n"/>
      <c r="I61" s="140" t="n"/>
      <c r="J61" s="140" t="n"/>
      <c r="K61" s="140" t="n"/>
      <c r="L61" s="141" t="n"/>
      <c r="M61" s="57" t="n"/>
      <c r="N61" s="57" t="n"/>
    </row>
    <row r="62" ht="31.95" customHeight="1" s="128">
      <c r="B62" s="52" t="inlineStr">
        <is>
          <t>Motivatie risc identificat</t>
        </is>
      </c>
      <c r="C62" s="162" t="inlineStr">
        <is>
          <t>Eticheta de material diferit lipita direct scade reciclabilitatea; continutul reciclat al flaconului nu e certificat</t>
        </is>
      </c>
      <c r="D62" s="140" t="n"/>
      <c r="E62" s="140" t="n"/>
      <c r="F62" s="140" t="n"/>
      <c r="G62" s="140" t="n"/>
      <c r="H62" s="140" t="n"/>
      <c r="I62" s="140" t="n"/>
      <c r="J62" s="140" t="n"/>
      <c r="K62" s="140" t="n"/>
      <c r="L62" s="141" t="n"/>
      <c r="M62" s="57" t="n"/>
      <c r="N62" s="57" t="n"/>
    </row>
    <row r="63" ht="31.95" customHeight="1" s="128">
      <c r="B63" s="52" t="inlineStr">
        <is>
          <t>Oportunitati de imbunatatire propuse de MIRALEDO</t>
        </is>
      </c>
      <c r="C63" s="162" t="inlineStr">
        <is>
          <t>Eticheta detasabila/sleeve din acelasi material; flacon cu PCR certificat</t>
        </is>
      </c>
      <c r="D63" s="140" t="n"/>
      <c r="E63" s="140" t="n"/>
      <c r="F63" s="140" t="n"/>
      <c r="G63" s="140" t="n"/>
      <c r="H63" s="140" t="n"/>
      <c r="I63" s="140" t="n"/>
      <c r="J63" s="140" t="n"/>
      <c r="K63" s="140" t="n"/>
      <c r="L63" s="141" t="n"/>
      <c r="M63" s="57" t="n"/>
      <c r="N63" s="57" t="n"/>
    </row>
    <row r="64" ht="31.95" customHeight="1" s="128">
      <c r="B64" s="52" t="inlineStr">
        <is>
          <t>Beneficiu estimat (cost EPR, conformitate, imagine)</t>
        </is>
      </c>
      <c r="C64" s="162" t="inlineStr">
        <is>
          <t>Reducere contributie Fond Mediu, argument de sustenabilitate pentru client</t>
        </is>
      </c>
      <c r="D64" s="140" t="n"/>
      <c r="E64" s="140" t="n"/>
      <c r="F64" s="140" t="n"/>
      <c r="G64" s="140" t="n"/>
      <c r="H64" s="140" t="n"/>
      <c r="I64" s="140" t="n"/>
      <c r="J64" s="140" t="n"/>
      <c r="K64" s="140" t="n"/>
      <c r="L64" s="141" t="n"/>
      <c r="M64" s="57" t="n"/>
      <c r="N64" s="57" t="n"/>
    </row>
    <row r="65" ht="30" customHeight="1" s="128">
      <c r="B65" s="52" t="inlineStr">
        <is>
          <t>Termen legal relevant / urgenta</t>
        </is>
      </c>
      <c r="C65" s="163" t="inlineStr">
        <is>
          <t>Etichetare armonizata din 2028 - fereastra confortabila</t>
        </is>
      </c>
      <c r="D65" s="143" t="n"/>
      <c r="E65" s="143" t="n"/>
      <c r="F65" s="143" t="n"/>
      <c r="G65" s="143" t="n"/>
      <c r="H65" s="143" t="n"/>
      <c r="I65" s="143" t="n"/>
      <c r="J65" s="143" t="n"/>
      <c r="K65" s="143" t="n"/>
      <c r="L65" s="144" t="n"/>
      <c r="M65" s="57" t="n"/>
      <c r="N65" s="57" t="n"/>
    </row>
    <row r="67" ht="19.5" customHeight="1" s="128">
      <c r="B67" s="35" t="inlineStr">
        <is>
          <t>7. Comercial si pasi urmatori — sectiune interna MIRALEDO</t>
        </is>
      </c>
      <c r="C67" s="35" t="n"/>
      <c r="D67" s="35" t="n"/>
      <c r="E67" s="36" t="n"/>
      <c r="F67" s="36" t="n"/>
      <c r="G67" s="36" t="n"/>
      <c r="H67" s="36" t="n"/>
      <c r="I67" s="36" t="n"/>
      <c r="J67" s="36" t="n"/>
      <c r="K67" s="36" t="n"/>
      <c r="L67" s="36" t="n"/>
      <c r="M67" s="51" t="n"/>
      <c r="N67" s="51" t="n"/>
    </row>
    <row r="68" ht="30" customHeight="1" s="128">
      <c r="B68" s="52" t="inlineStr">
        <is>
          <t>Pret tinta client (unitate completa, EUR / 1000 buc)</t>
        </is>
      </c>
      <c r="C68" s="162" t="inlineStr">
        <is>
          <t>400 EUR / 1000 buc</t>
        </is>
      </c>
      <c r="D68" s="140" t="n"/>
      <c r="E68" s="140" t="n"/>
      <c r="F68" s="140" t="n"/>
      <c r="G68" s="140" t="n"/>
      <c r="H68" s="140" t="n"/>
      <c r="I68" s="140" t="n"/>
      <c r="J68" s="140" t="n"/>
      <c r="K68" s="140" t="n"/>
      <c r="L68" s="141" t="n"/>
      <c r="M68" s="57" t="n"/>
      <c r="N68" s="57" t="n"/>
    </row>
    <row r="69" ht="30" customHeight="1" s="128">
      <c r="B69" s="52" t="inlineStr">
        <is>
          <t>Conditii de livrare (Incoterms)</t>
        </is>
      </c>
      <c r="C69" s="162" t="inlineStr">
        <is>
          <t>DAP Bucuresti</t>
        </is>
      </c>
      <c r="D69" s="140" t="n"/>
      <c r="E69" s="140" t="n"/>
      <c r="F69" s="140" t="n"/>
      <c r="G69" s="140" t="n"/>
      <c r="H69" s="140" t="n"/>
      <c r="I69" s="140" t="n"/>
      <c r="J69" s="140" t="n"/>
      <c r="K69" s="140" t="n"/>
      <c r="L69" s="141" t="n"/>
      <c r="M69" s="57" t="n"/>
      <c r="N69" s="57" t="n"/>
    </row>
    <row r="70" ht="31.95" customHeight="1" s="128">
      <c r="B70" s="52" t="inlineStr">
        <is>
          <t>Problema / nevoie identificata la client</t>
        </is>
      </c>
      <c r="C70" s="162" t="inlineStr">
        <is>
          <t>Cauta reducere cost si continut reciclat</t>
        </is>
      </c>
      <c r="D70" s="140" t="n"/>
      <c r="E70" s="140" t="n"/>
      <c r="F70" s="140" t="n"/>
      <c r="G70" s="140" t="n"/>
      <c r="H70" s="140" t="n"/>
      <c r="I70" s="140" t="n"/>
      <c r="J70" s="140" t="n"/>
      <c r="K70" s="140" t="n"/>
      <c r="L70" s="141" t="n"/>
      <c r="M70" s="57" t="n"/>
      <c r="N70" s="57" t="n"/>
    </row>
    <row r="71" ht="31.95" customHeight="1" s="128">
      <c r="B71" s="52" t="inlineStr">
        <is>
          <t>Stadiu pipeline (vezi Sales Pipeline CRM)</t>
        </is>
      </c>
      <c r="C71" s="162" t="inlineStr">
        <is>
          <t>NEVOIE IDENTIFICATA</t>
        </is>
      </c>
      <c r="D71" s="140" t="n"/>
      <c r="E71" s="140" t="n"/>
      <c r="F71" s="140" t="n"/>
      <c r="G71" s="140" t="n"/>
      <c r="H71" s="140" t="n"/>
      <c r="I71" s="140" t="n"/>
      <c r="J71" s="140" t="n"/>
      <c r="K71" s="140" t="n"/>
      <c r="L71" s="141" t="n"/>
      <c r="M71" s="57" t="n"/>
      <c r="N71" s="57" t="n"/>
    </row>
    <row r="72" ht="30" customHeight="1" s="128">
      <c r="B72" s="52" t="inlineStr">
        <is>
          <t>Urmatoarea actiune</t>
        </is>
      </c>
      <c r="C72" s="162" t="inlineStr">
        <is>
          <t>Trimis catre furnizor Z pentru oferta PCR pe flacon</t>
        </is>
      </c>
      <c r="D72" s="140" t="n"/>
      <c r="E72" s="140" t="n"/>
      <c r="F72" s="140" t="n"/>
      <c r="G72" s="140" t="n"/>
      <c r="H72" s="140" t="n"/>
      <c r="I72" s="140" t="n"/>
      <c r="J72" s="140" t="n"/>
      <c r="K72" s="140" t="n"/>
      <c r="L72" s="141" t="n"/>
      <c r="M72" s="57" t="n"/>
      <c r="N72" s="57" t="n"/>
    </row>
    <row r="73" ht="30" customHeight="1" s="128">
      <c r="B73" s="52" t="inlineStr">
        <is>
          <t>Data urmatorului follow-up</t>
        </is>
      </c>
      <c r="C73" s="163" t="inlineStr">
        <is>
          <t>05.10.2026</t>
        </is>
      </c>
      <c r="D73" s="143" t="n"/>
      <c r="E73" s="143" t="n"/>
      <c r="F73" s="143" t="n"/>
      <c r="G73" s="143" t="n"/>
      <c r="H73" s="143" t="n"/>
      <c r="I73" s="143" t="n"/>
      <c r="J73" s="143" t="n"/>
      <c r="K73" s="143" t="n"/>
      <c r="L73" s="144" t="n"/>
      <c r="M73" s="57" t="n"/>
      <c r="N73" s="57" t="n"/>
    </row>
    <row r="76" ht="18" customHeight="1" s="128">
      <c r="B76" s="54" t="inlineStr">
        <is>
          <t>Observatii</t>
        </is>
      </c>
      <c r="C76" s="155" t="n"/>
      <c r="D76" s="140" t="n"/>
      <c r="E76" s="140" t="n"/>
      <c r="F76" s="140" t="n"/>
      <c r="G76" s="140" t="n"/>
      <c r="H76" s="140" t="n"/>
      <c r="I76" s="140" t="n"/>
      <c r="J76" s="140" t="n"/>
      <c r="K76" s="140" t="n"/>
      <c r="L76" s="141" t="n"/>
      <c r="M76" s="4" t="n"/>
      <c r="N76" s="4" t="n"/>
    </row>
    <row r="77" ht="18" customHeight="1" s="128">
      <c r="C77" s="156" t="n"/>
      <c r="D77" s="157" t="n"/>
      <c r="E77" s="157" t="n"/>
      <c r="F77" s="157" t="n"/>
      <c r="G77" s="157" t="n"/>
      <c r="H77" s="157" t="n"/>
      <c r="I77" s="157" t="n"/>
      <c r="J77" s="157" t="n"/>
      <c r="K77" s="157" t="n"/>
      <c r="L77" s="158" t="n"/>
      <c r="M77" s="4" t="n"/>
      <c r="N77" s="4" t="n"/>
    </row>
    <row r="78" ht="18" customHeight="1" s="128">
      <c r="C78" s="159" t="n"/>
      <c r="D78" s="160" t="n"/>
      <c r="E78" s="160" t="n"/>
      <c r="F78" s="160" t="n"/>
      <c r="G78" s="160" t="n"/>
      <c r="H78" s="160" t="n"/>
      <c r="I78" s="160" t="n"/>
      <c r="J78" s="160" t="n"/>
      <c r="K78" s="160" t="n"/>
      <c r="L78" s="161" t="n"/>
      <c r="M78" s="4" t="n"/>
      <c r="N78" s="4" t="n"/>
    </row>
  </sheetData>
  <sheetProtection selectLockedCells="0" selectUnlockedCells="0" sheet="1" objects="1" insertRows="1" insertHyperlinks="1" autoFilter="1" scenarios="1" formatColumns="0" deleteColumns="1" insertColumns="1" pivotTables="1" deleteRows="1" formatCells="1" formatRows="0" sort="1"/>
  <mergeCells count="54">
    <mergeCell ref="C71:L71"/>
    <mergeCell ref="E12:L12"/>
    <mergeCell ref="E28:G28"/>
    <mergeCell ref="C61:L61"/>
    <mergeCell ref="C39:L39"/>
    <mergeCell ref="C52:L52"/>
    <mergeCell ref="C70:L70"/>
    <mergeCell ref="C8:L8"/>
    <mergeCell ref="C48:L48"/>
    <mergeCell ref="C7:L7"/>
    <mergeCell ref="E14:L14"/>
    <mergeCell ref="E30:G30"/>
    <mergeCell ref="C76:L78"/>
    <mergeCell ref="B29:D29"/>
    <mergeCell ref="C38:L38"/>
    <mergeCell ref="C72:L72"/>
    <mergeCell ref="B56:L56"/>
    <mergeCell ref="C57:L57"/>
    <mergeCell ref="C37:L37"/>
    <mergeCell ref="B28:D28"/>
    <mergeCell ref="C53:L53"/>
    <mergeCell ref="C69:L69"/>
    <mergeCell ref="C49:L49"/>
    <mergeCell ref="E10:L10"/>
    <mergeCell ref="C68:L68"/>
    <mergeCell ref="C34:L34"/>
    <mergeCell ref="B30:D30"/>
    <mergeCell ref="E13:L13"/>
    <mergeCell ref="C6:L6"/>
    <mergeCell ref="C62:L62"/>
    <mergeCell ref="C42:L42"/>
    <mergeCell ref="C58:L58"/>
    <mergeCell ref="C5:L5"/>
    <mergeCell ref="C73:L73"/>
    <mergeCell ref="C4:L4"/>
    <mergeCell ref="C64:L64"/>
    <mergeCell ref="E11:L11"/>
    <mergeCell ref="B26:D26"/>
    <mergeCell ref="C35:L35"/>
    <mergeCell ref="C63:L63"/>
    <mergeCell ref="C65:L65"/>
    <mergeCell ref="C47:L47"/>
    <mergeCell ref="C50:L50"/>
    <mergeCell ref="C41:L41"/>
    <mergeCell ref="C40:L40"/>
    <mergeCell ref="B33:L33"/>
    <mergeCell ref="B27:D27"/>
    <mergeCell ref="C59:L59"/>
    <mergeCell ref="C43:L43"/>
    <mergeCell ref="C51:L51"/>
    <mergeCell ref="C46:L46"/>
    <mergeCell ref="E29:G29"/>
    <mergeCell ref="C60:L60"/>
    <mergeCell ref="C36:L36"/>
  </mergeCells>
  <dataValidations count="10">
    <dataValidation sqref="E18:E25" showDropDown="0" showInputMessage="1" showErrorMessage="1" allowBlank="1" errorTitle="Valoare invalida" error="Greutatea se scrie in grame, ca numar pozitiv (ex: 12 sau 1,5)." type="decimal">
      <formula1>0</formula1>
      <formula2>100000</formula2>
    </dataValidation>
    <dataValidation sqref="F18:F25" showDropDown="0" showInputMessage="1" showErrorMessage="1" allowBlank="1" errorTitle="Valoare invalida" error="Scrieti un procent intre 0% si 100% (ex: 60%)." type="decimal">
      <formula1>0</formula1>
      <formula2>1</formula2>
    </dataValidation>
    <dataValidation sqref="H18:H25" showDropDown="0" showInputMessage="1" showErrorMessage="1" allowBlank="1" errorTitle="Valoare invalida" error="Scrieti un procent intre 0% si 100% (ex: 30%)." type="decimal">
      <formula1>0</formula1>
      <formula2>1</formula2>
    </dataValidation>
    <dataValidation sqref="C37:C39" showDropDown="0" showInputMessage="1" showErrorMessage="1" allowBlank="1" errorTitle="Valoare invalida" error="Valoarea nu este in lista. Puteti continua daca este intentionat (ex: cu detalii)." type="list" errorStyle="information">
      <formula1>"Scazuta,Medie,Ridicata"</formula1>
    </dataValidation>
    <dataValidation sqref="C46" showDropDown="0" showInputMessage="1" showErrorMessage="1" allowBlank="1" errorTitle="Valoare invalida" error="Valoarea nu este in lista. Puteti continua daca este intentionat (ex: cu detalii)." type="list" errorStyle="information">
      <formula1>"Automata,Semi-automata,Manuala"</formula1>
    </dataValidation>
    <dataValidation sqref="C57:C58" showDropDown="0" showInputMessage="1" showErrorMessage="1" allowBlank="1" errorTitle="Valoare invalida" error="Valoarea nu este in lista. Puteti continua daca este intentionat (ex: cu detalii)." type="list" errorStyle="information">
      <formula1>"Da,Nu,De confirmat"</formula1>
    </dataValidation>
    <dataValidation sqref="C61" showDropDown="0" showInputMessage="1" showErrorMessage="1" allowBlank="1" errorTitle="Valoare invalida" error="Alegeti: Ridicat, Mediu sau Scazut." type="list">
      <formula1>"Ridicat,Mediu,Scazut"</formula1>
    </dataValidation>
    <dataValidation sqref="C11:C14" showDropDown="0" showInputMessage="1" showErrorMessage="1" allowBlank="1" errorTitle="Valoare invalida" error="Scrieti volumul anual ca numar (buc/an), fara text." type="decimal" operator="greaterThanOrEqual">
      <formula1>0</formula1>
    </dataValidation>
    <dataValidation sqref="C35" showDropDown="0" showInputMessage="1" showErrorMessage="1" allowBlank="1" errorTitle="Valoare invalida" error="Valoarea nu este in lista. Puteti continua daca este intentionat." type="list" errorStyle="information">
      <formula1>"Alimentar,Farma,Cosmetic,Supliment alimentar,Altul"</formula1>
    </dataValidation>
    <dataValidation sqref="K18:K25" showDropDown="0" showInputMessage="1" showErrorMessage="1" allowBlank="1" errorTitle="Valoare invalida" error="Scrieti pretul ca numar in EUR / 1000 buc (ex: 300)." type="decimal" operator="greaterThanOrEqual">
      <formula1>0</formula1>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B2:N78"/>
  <sheetViews>
    <sheetView showGridLines="0" zoomScaleNormal="100" workbookViewId="0">
      <selection activeCell="A1" sqref="A1"/>
    </sheetView>
  </sheetViews>
  <sheetFormatPr baseColWidth="8" defaultColWidth="8.6640625" defaultRowHeight="14.4"/>
  <cols>
    <col width="3" customWidth="1" style="128" min="1" max="1"/>
    <col width="38.88671875" customWidth="1" style="128" min="2" max="2"/>
    <col width="18.5546875" customWidth="1" style="128" min="3" max="3"/>
    <col width="15.77734375" customWidth="1" style="128" min="4" max="4"/>
    <col width="11.44140625" customWidth="1" style="128" min="5" max="5"/>
    <col width="13" customWidth="1" style="128" min="6" max="6"/>
    <col width="12.5546875" customWidth="1" style="128" min="7" max="7"/>
    <col width="13.33203125" customWidth="1" style="128" min="8" max="8"/>
    <col width="15.77734375" customWidth="1" style="128" min="9" max="9"/>
    <col width="14.77734375" customWidth="1" style="128" min="10" max="10"/>
    <col width="17.5546875" customWidth="1" style="128" min="11" max="11"/>
    <col width="27.77734375" customWidth="1" style="128" min="12" max="12"/>
    <col width="11.109375" customWidth="1" style="128" min="13" max="13"/>
    <col width="25.88671875" customWidth="1" style="128" min="14" max="14"/>
    <col width="3" customWidth="1" style="128" min="15" max="15"/>
  </cols>
  <sheetData>
    <row r="1" ht="15" customHeight="1" s="128"/>
    <row r="2" ht="27.75" customHeight="1" s="128">
      <c r="B2" s="129" t="inlineStr">
        <is>
          <t>Fisa de analiza — unitate de ambalaj</t>
        </is>
      </c>
      <c r="C2" s="129" t="n"/>
      <c r="D2" s="129" t="n"/>
      <c r="E2" s="34" t="n"/>
      <c r="F2" s="34" t="n"/>
      <c r="G2" s="34" t="n"/>
      <c r="H2" s="34" t="n"/>
      <c r="I2" s="34" t="n"/>
      <c r="J2" s="34" t="n"/>
      <c r="K2" s="34" t="n"/>
      <c r="L2" s="34" t="n"/>
    </row>
    <row r="3" ht="19.5" customHeight="1" s="128">
      <c r="B3" s="35" t="inlineStr">
        <is>
          <t>1. Identificare unitate de ambalaj</t>
        </is>
      </c>
      <c r="C3" s="35" t="n"/>
      <c r="D3" s="35" t="n"/>
      <c r="E3" s="36" t="n"/>
      <c r="F3" s="36" t="n"/>
      <c r="G3" s="36" t="n"/>
      <c r="H3" s="36" t="n"/>
      <c r="I3" s="36" t="n"/>
      <c r="J3" s="36" t="n"/>
      <c r="K3" s="36" t="n"/>
      <c r="L3" s="36" t="n"/>
      <c r="M3" s="51" t="n"/>
      <c r="N3" s="51" t="n"/>
    </row>
    <row r="4" ht="31.95" customHeight="1" s="128">
      <c r="B4" s="52" t="inlineStr">
        <is>
          <t>Denumire unitate (pe baza componentelor)</t>
        </is>
      </c>
      <c r="C4" s="139" t="n"/>
      <c r="D4" s="140" t="n"/>
      <c r="E4" s="140" t="n"/>
      <c r="F4" s="140" t="n"/>
      <c r="G4" s="140" t="n"/>
      <c r="H4" s="140" t="n"/>
      <c r="I4" s="140" t="n"/>
      <c r="J4" s="140" t="n"/>
      <c r="K4" s="140" t="n"/>
      <c r="L4" s="141" t="n"/>
      <c r="M4" s="55" t="n"/>
      <c r="N4" s="55" t="n"/>
    </row>
    <row r="5" ht="31.95" customHeight="1" s="128">
      <c r="B5" s="52" t="inlineStr">
        <is>
          <t>Furnizor/configuratie de referinta (daca exista)</t>
        </is>
      </c>
      <c r="C5" s="142" t="n"/>
      <c r="D5" s="143" t="n"/>
      <c r="E5" s="143" t="n"/>
      <c r="F5" s="143" t="n"/>
      <c r="G5" s="143" t="n"/>
      <c r="H5" s="143" t="n"/>
      <c r="I5" s="143" t="n"/>
      <c r="J5" s="143" t="n"/>
      <c r="K5" s="143" t="n"/>
      <c r="L5" s="144" t="n"/>
      <c r="M5" s="55" t="n"/>
      <c r="N5" s="55" t="n"/>
    </row>
    <row r="6" ht="30" customHeight="1" s="128">
      <c r="B6" s="52" t="inlineStr">
        <is>
          <t>Capacitate nominala (ml / g)</t>
        </is>
      </c>
      <c r="C6" s="145" t="n"/>
      <c r="D6" s="143" t="n"/>
      <c r="E6" s="143" t="n"/>
      <c r="F6" s="143" t="n"/>
      <c r="G6" s="143" t="n"/>
      <c r="H6" s="143" t="n"/>
      <c r="I6" s="143" t="n"/>
      <c r="J6" s="143" t="n"/>
      <c r="K6" s="143" t="n"/>
      <c r="L6" s="144" t="n"/>
      <c r="M6" s="55" t="n"/>
      <c r="N6" s="55" t="n"/>
    </row>
    <row r="7" ht="34.05" customHeight="1" s="128">
      <c r="B7" s="52" t="inlineStr">
        <is>
          <t>Dimensiuni principale (diametru x inaltime, mm)</t>
        </is>
      </c>
      <c r="C7" s="145" t="n"/>
      <c r="D7" s="143" t="n"/>
      <c r="E7" s="143" t="n"/>
      <c r="F7" s="143" t="n"/>
      <c r="G7" s="143" t="n"/>
      <c r="H7" s="143" t="n"/>
      <c r="I7" s="143" t="n"/>
      <c r="J7" s="143" t="n"/>
      <c r="K7" s="143" t="n"/>
      <c r="L7" s="144" t="n"/>
      <c r="M7" s="55" t="n"/>
      <c r="N7" s="55" t="n"/>
    </row>
    <row r="8" ht="34.05" customHeight="1" s="128">
      <c r="B8" s="52" t="inlineStr">
        <is>
          <t>Documente disponibile (fisa tehnica, desen, poze, declaratii)</t>
        </is>
      </c>
      <c r="C8" s="145" t="n"/>
      <c r="D8" s="143" t="n"/>
      <c r="E8" s="143" t="n"/>
      <c r="F8" s="143" t="n"/>
      <c r="G8" s="143" t="n"/>
      <c r="H8" s="143" t="n"/>
      <c r="I8" s="143" t="n"/>
      <c r="J8" s="143" t="n"/>
      <c r="K8" s="143" t="n"/>
      <c r="L8" s="144" t="n"/>
      <c r="M8" s="55" t="n"/>
      <c r="N8" s="55" t="n"/>
    </row>
    <row r="9" ht="19.5" customHeight="1" s="128">
      <c r="B9" s="35" t="inlineStr">
        <is>
          <t>2. Produse / SKU-uri care folosesc aceasta unitate</t>
        </is>
      </c>
      <c r="C9" s="35" t="n"/>
      <c r="D9" s="35" t="n"/>
      <c r="E9" s="36" t="n"/>
      <c r="F9" s="36" t="n"/>
      <c r="G9" s="36" t="n"/>
      <c r="H9" s="36" t="n"/>
      <c r="I9" s="36" t="n"/>
      <c r="J9" s="36" t="n"/>
      <c r="K9" s="36" t="n"/>
      <c r="L9" s="36" t="n"/>
      <c r="M9" s="51" t="n"/>
      <c r="N9" s="51" t="n"/>
    </row>
    <row r="10" ht="30" customHeight="1" s="128">
      <c r="B10" s="3" t="inlineStr">
        <is>
          <t>Denumire produs / SKU</t>
        </is>
      </c>
      <c r="C10" s="102" t="inlineStr">
        <is>
          <t>Volum anual estimat (buc/an)</t>
        </is>
      </c>
      <c r="D10" s="102" t="inlineStr">
        <is>
          <t>Frecventa comenzilor</t>
        </is>
      </c>
      <c r="E10" s="102" t="inlineStr">
        <is>
          <t>Observatii</t>
        </is>
      </c>
      <c r="F10" s="146" t="n"/>
      <c r="G10" s="146" t="n"/>
      <c r="H10" s="146" t="n"/>
      <c r="I10" s="146" t="n"/>
      <c r="J10" s="146" t="n"/>
      <c r="K10" s="146" t="n"/>
      <c r="L10" s="146" t="n"/>
      <c r="M10" s="50" t="n"/>
      <c r="N10" s="50" t="n"/>
    </row>
    <row r="11" ht="30" customHeight="1" s="128">
      <c r="B11" s="42" t="n"/>
      <c r="C11" s="67" t="n"/>
      <c r="D11" s="53" t="n"/>
      <c r="E11" s="104" t="n"/>
      <c r="F11" s="143" t="n"/>
      <c r="G11" s="143" t="n"/>
      <c r="H11" s="143" t="n"/>
      <c r="I11" s="143" t="n"/>
      <c r="J11" s="143" t="n"/>
      <c r="K11" s="143" t="n"/>
      <c r="L11" s="143" t="n"/>
      <c r="M11" s="55" t="n"/>
      <c r="N11" s="55" t="n"/>
    </row>
    <row r="12" ht="30" customHeight="1" s="128">
      <c r="B12" s="42" t="n"/>
      <c r="C12" s="67" t="n"/>
      <c r="D12" s="53" t="n"/>
      <c r="E12" s="104" t="n"/>
      <c r="F12" s="143" t="n"/>
      <c r="G12" s="143" t="n"/>
      <c r="H12" s="143" t="n"/>
      <c r="I12" s="143" t="n"/>
      <c r="J12" s="143" t="n"/>
      <c r="K12" s="143" t="n"/>
      <c r="L12" s="143" t="n"/>
      <c r="M12" s="55" t="n"/>
      <c r="N12" s="55" t="n"/>
    </row>
    <row r="13" ht="30" customHeight="1" s="128">
      <c r="B13" s="42" t="n"/>
      <c r="C13" s="67" t="n"/>
      <c r="D13" s="53" t="n"/>
      <c r="E13" s="104" t="n"/>
      <c r="F13" s="143" t="n"/>
      <c r="G13" s="143" t="n"/>
      <c r="H13" s="143" t="n"/>
      <c r="I13" s="143" t="n"/>
      <c r="J13" s="143" t="n"/>
      <c r="K13" s="143" t="n"/>
      <c r="L13" s="143" t="n"/>
      <c r="M13" s="55" t="n"/>
      <c r="N13" s="55" t="n"/>
    </row>
    <row r="14" ht="30" customHeight="1" s="128">
      <c r="B14" s="64" t="n"/>
      <c r="C14" s="68" t="n"/>
      <c r="D14" s="53" t="n"/>
      <c r="E14" s="104" t="n"/>
      <c r="F14" s="143" t="n"/>
      <c r="G14" s="143" t="n"/>
      <c r="H14" s="143" t="n"/>
      <c r="I14" s="143" t="n"/>
      <c r="J14" s="143" t="n"/>
      <c r="K14" s="143" t="n"/>
      <c r="L14" s="143" t="n"/>
      <c r="M14" s="55" t="n"/>
      <c r="N14" s="55" t="n"/>
    </row>
    <row r="15" ht="24" customHeight="1" s="128">
      <c r="B15" s="65" t="inlineStr">
        <is>
          <t>TOTAL volum anual unitate (automat)</t>
        </is>
      </c>
      <c r="C15" s="66">
        <f>SUM(C11:C14)</f>
        <v/>
      </c>
    </row>
    <row r="16" ht="19.5" customHeight="1" s="128">
      <c r="B16" s="35" t="inlineStr">
        <is>
          <t>3. Componentele unitatii de ambalaj</t>
        </is>
      </c>
      <c r="C16" s="35" t="n"/>
      <c r="D16" s="35" t="n"/>
      <c r="E16" s="35" t="n"/>
      <c r="F16" s="35" t="n"/>
      <c r="G16" s="35" t="n"/>
      <c r="H16" s="35" t="n"/>
      <c r="I16" s="35" t="n"/>
      <c r="J16" s="35" t="n"/>
      <c r="K16" s="35" t="n"/>
      <c r="L16" s="35" t="n"/>
      <c r="M16" s="63" t="n"/>
      <c r="N16" s="63" t="n"/>
    </row>
    <row r="17" ht="49.95" customHeight="1" s="128">
      <c r="B17" s="3" t="inlineStr">
        <is>
          <t>Denumire componenta</t>
        </is>
      </c>
      <c r="C17" s="3" t="inlineStr">
        <is>
          <t>Material</t>
        </is>
      </c>
      <c r="D17" s="3" t="inlineStr">
        <is>
          <t>Culoare</t>
        </is>
      </c>
      <c r="E17" s="3" t="inlineStr">
        <is>
          <t>Greutate (g)</t>
        </is>
      </c>
      <c r="F17" s="3" t="inlineStr">
        <is>
          <t>% reciclabil (0-100%)</t>
        </is>
      </c>
      <c r="G17" s="3" t="inlineStr">
        <is>
          <t>Masa reciclabila (g)</t>
        </is>
      </c>
      <c r="H17" s="3" t="inlineStr">
        <is>
          <t>% continut reciclat (PCR)</t>
        </is>
      </c>
      <c r="I17" s="3" t="inlineStr">
        <is>
          <t>Furnizor</t>
        </is>
      </c>
      <c r="J17" s="3" t="inlineStr">
        <is>
          <t>Tara origine</t>
        </is>
      </c>
      <c r="K17" s="3" t="inlineStr">
        <is>
          <t>Pret unitar (EUR / 1000 buc)</t>
        </is>
      </c>
      <c r="L17" s="102" t="inlineStr">
        <is>
          <t>Observatii / risc</t>
        </is>
      </c>
    </row>
    <row r="18" ht="18" customHeight="1" s="128">
      <c r="B18" s="43" t="n"/>
      <c r="C18" s="44" t="n"/>
      <c r="D18" s="44" t="n"/>
      <c r="E18" s="44" t="n"/>
      <c r="F18" s="45" t="n"/>
      <c r="G18" s="147">
        <f>IF(OR(E18="",F18=""),"",E18*F18)</f>
        <v/>
      </c>
      <c r="H18" s="45" t="n"/>
      <c r="I18" s="44" t="n"/>
      <c r="J18" s="44" t="n"/>
      <c r="K18" s="69" t="n"/>
      <c r="L18" s="59" t="n"/>
    </row>
    <row r="19" ht="18" customHeight="1" s="128">
      <c r="B19" s="43" t="n"/>
      <c r="C19" s="44" t="n"/>
      <c r="D19" s="44" t="n"/>
      <c r="E19" s="44" t="n"/>
      <c r="F19" s="45" t="n"/>
      <c r="G19" s="147">
        <f>IF(OR(E19="",F19=""),"",E19*F19)</f>
        <v/>
      </c>
      <c r="H19" s="45" t="n"/>
      <c r="I19" s="44" t="n"/>
      <c r="J19" s="44" t="n"/>
      <c r="K19" s="69" t="n"/>
      <c r="L19" s="59" t="n"/>
    </row>
    <row r="20" ht="18" customHeight="1" s="128">
      <c r="B20" s="43" t="n"/>
      <c r="C20" s="44" t="n"/>
      <c r="D20" s="44" t="n"/>
      <c r="E20" s="44" t="n"/>
      <c r="F20" s="45" t="n"/>
      <c r="G20" s="147">
        <f>IF(OR(E20="",F20=""),"",E20*F20)</f>
        <v/>
      </c>
      <c r="H20" s="45" t="n"/>
      <c r="I20" s="44" t="n"/>
      <c r="J20" s="44" t="n"/>
      <c r="K20" s="69" t="n"/>
      <c r="L20" s="59" t="n"/>
    </row>
    <row r="21" ht="18" customHeight="1" s="128">
      <c r="B21" s="43" t="n"/>
      <c r="C21" s="44" t="n"/>
      <c r="D21" s="44" t="n"/>
      <c r="E21" s="44" t="n"/>
      <c r="F21" s="45" t="n"/>
      <c r="G21" s="147">
        <f>IF(OR(E21="",F21=""),"",E21*F21)</f>
        <v/>
      </c>
      <c r="H21" s="45" t="n"/>
      <c r="I21" s="44" t="n"/>
      <c r="J21" s="44" t="n"/>
      <c r="K21" s="69" t="n"/>
      <c r="L21" s="59" t="n"/>
    </row>
    <row r="22" ht="18" customHeight="1" s="128">
      <c r="B22" s="43" t="n"/>
      <c r="C22" s="44" t="n"/>
      <c r="D22" s="44" t="n"/>
      <c r="E22" s="44" t="n"/>
      <c r="F22" s="45" t="n"/>
      <c r="G22" s="147">
        <f>IF(OR(E22="",F22=""),"",E22*F22)</f>
        <v/>
      </c>
      <c r="H22" s="45" t="n"/>
      <c r="I22" s="44" t="n"/>
      <c r="J22" s="44" t="n"/>
      <c r="K22" s="69" t="n"/>
      <c r="L22" s="59" t="n"/>
    </row>
    <row r="23" ht="18" customHeight="1" s="128">
      <c r="B23" s="43" t="n"/>
      <c r="C23" s="44" t="n"/>
      <c r="D23" s="44" t="n"/>
      <c r="E23" s="44" t="n"/>
      <c r="F23" s="45" t="n"/>
      <c r="G23" s="147">
        <f>IF(OR(E23="",F23=""),"",E23*F23)</f>
        <v/>
      </c>
      <c r="H23" s="45" t="n"/>
      <c r="I23" s="44" t="n"/>
      <c r="J23" s="44" t="n"/>
      <c r="K23" s="69" t="n"/>
      <c r="L23" s="59" t="n"/>
    </row>
    <row r="24" ht="18" customHeight="1" s="128">
      <c r="B24" s="43" t="n"/>
      <c r="C24" s="44" t="n"/>
      <c r="D24" s="44" t="n"/>
      <c r="E24" s="44" t="n"/>
      <c r="F24" s="45" t="n"/>
      <c r="G24" s="147">
        <f>IF(OR(E24="",F24=""),"",E24*F24)</f>
        <v/>
      </c>
      <c r="H24" s="45" t="n"/>
      <c r="I24" s="44" t="n"/>
      <c r="J24" s="44" t="n"/>
      <c r="K24" s="69" t="n"/>
      <c r="L24" s="59" t="n"/>
    </row>
    <row r="25" ht="18" customHeight="1" s="128">
      <c r="B25" s="43" t="n"/>
      <c r="C25" s="44" t="n"/>
      <c r="D25" s="44" t="n"/>
      <c r="E25" s="44" t="n"/>
      <c r="F25" s="45" t="n"/>
      <c r="G25" s="147">
        <f>IF(OR(E25="",F25=""),"",E25*F25)</f>
        <v/>
      </c>
      <c r="H25" s="45" t="n"/>
      <c r="I25" s="44" t="n"/>
      <c r="J25" s="44" t="n"/>
      <c r="K25" s="69" t="n"/>
      <c r="L25" s="59" t="n"/>
    </row>
    <row r="26" ht="19.5" customHeight="1" s="128">
      <c r="B26" s="116" t="inlineStr">
        <is>
          <t>TOTAL unitate (greutate si masa reciclabila)</t>
        </is>
      </c>
      <c r="C26" s="146" t="n"/>
      <c r="D26" s="131" t="n"/>
      <c r="E26" s="148">
        <f>SUM(E18:E25)</f>
        <v/>
      </c>
      <c r="F26" s="40" t="n"/>
      <c r="G26" s="148">
        <f>SUM(G18:G25)</f>
        <v/>
      </c>
      <c r="H26" s="40" t="n"/>
      <c r="I26" s="40" t="n"/>
      <c r="J26" s="40" t="n"/>
      <c r="K26" s="40" t="n"/>
      <c r="L26" s="60" t="n"/>
      <c r="M26" s="61" t="n"/>
      <c r="N26" s="61" t="n"/>
    </row>
    <row r="27" ht="19.5" customHeight="1" s="128">
      <c r="B27" s="116" t="inlineStr">
        <is>
          <t>% reciclabil ponderat pe greutate (automat)</t>
        </is>
      </c>
      <c r="C27" s="146" t="n"/>
      <c r="D27" s="131" t="n"/>
      <c r="E27" s="149">
        <f>IFERROR(G26/E26,"-")</f>
        <v/>
      </c>
    </row>
    <row r="28" ht="30" customHeight="1" s="128">
      <c r="B28" s="116" t="inlineStr">
        <is>
          <t>Clasa de reciclabilitate calculata (A ≥95% / B ≥80% / C ≥70%)</t>
        </is>
      </c>
      <c r="C28" s="146" t="n"/>
      <c r="D28" s="131" t="n"/>
      <c r="E28" s="150">
        <f>IF(NOT(ISNUMBER(E27)),"-",IF(E27&gt;=0.95,"A",IF(E27&gt;=0.8,"B",IF(E27&gt;=0.7,"C","Sub 70% - nereciclabil"))))</f>
        <v/>
      </c>
      <c r="F28" s="146" t="n"/>
      <c r="G28" s="131" t="n"/>
    </row>
    <row r="29" ht="34.05" customHeight="1" s="128">
      <c r="B29" s="151" t="inlineStr">
        <is>
          <t>Cost total componente (EUR / 1000 buc) - suma preturilor completate (automat)</t>
        </is>
      </c>
      <c r="C29" s="146" t="n"/>
      <c r="D29" s="131" t="n"/>
      <c r="E29" s="152">
        <f>SUM(K18:K25)</f>
        <v/>
      </c>
      <c r="F29" s="146" t="n"/>
      <c r="G29" s="131" t="n"/>
      <c r="H29" s="70" t="n"/>
      <c r="I29" s="70" t="n"/>
      <c r="J29" s="70" t="n"/>
      <c r="K29" s="70" t="n"/>
      <c r="L29" s="70" t="n"/>
    </row>
    <row r="30" ht="34.05" customHeight="1" s="128">
      <c r="B30" s="151" t="inlineStr">
        <is>
          <t>Material total pus pe piata (kg/an) = greutate x volum anual (automat)</t>
        </is>
      </c>
      <c r="C30" s="146" t="n"/>
      <c r="D30" s="131" t="n"/>
      <c r="E30" s="153">
        <f>IF(OR(N(C15)=0,N(E26)=0),"-",E26*C15/1000)</f>
        <v/>
      </c>
      <c r="F30" s="146" t="n"/>
      <c r="G30" s="131" t="n"/>
      <c r="H30" s="70" t="n"/>
      <c r="I30" s="70" t="n"/>
      <c r="J30" s="70" t="n"/>
      <c r="K30" s="70" t="n"/>
      <c r="L30" s="70" t="n"/>
    </row>
    <row r="32" ht="19.5" customHeight="1" s="128">
      <c r="B32" s="35" t="inlineStr">
        <is>
          <t>4. Cerintele produsului/produselor ambalate</t>
        </is>
      </c>
      <c r="C32" s="35" t="n"/>
      <c r="D32" s="35" t="n"/>
      <c r="E32" s="36" t="n"/>
      <c r="F32" s="36" t="n"/>
      <c r="G32" s="36" t="n"/>
      <c r="H32" s="36" t="n"/>
      <c r="I32" s="36" t="n"/>
      <c r="J32" s="36" t="n"/>
      <c r="K32" s="36" t="n"/>
      <c r="L32" s="36" t="n"/>
      <c r="M32" s="51" t="n"/>
      <c r="N32" s="51" t="n"/>
    </row>
    <row r="33" ht="30" customHeight="1" s="128">
      <c r="B33" s="112" t="inlineStr">
        <is>
          <t>Daca SKU-urile din sectiunea 2 au cerinte diferite, noteaza diferentele in coloana 'Observatii' din tabelul SKU-urilor.</t>
        </is>
      </c>
      <c r="C33" s="154" t="n"/>
      <c r="D33" s="154" t="n"/>
      <c r="E33" s="154" t="n"/>
      <c r="F33" s="154" t="n"/>
      <c r="G33" s="154" t="n"/>
      <c r="H33" s="154" t="n"/>
      <c r="I33" s="154" t="n"/>
      <c r="J33" s="154" t="n"/>
      <c r="K33" s="154" t="n"/>
      <c r="L33" s="154" t="n"/>
      <c r="M33" s="82" t="n"/>
      <c r="N33" s="82" t="n"/>
    </row>
    <row r="34" ht="31.95" customHeight="1" s="128">
      <c r="B34" s="52" t="inlineStr">
        <is>
          <t>Tip produs (lichid / crema-gel / pudra / solid / altul)</t>
        </is>
      </c>
      <c r="C34" s="139" t="n"/>
      <c r="D34" s="140" t="n"/>
      <c r="E34" s="140" t="n"/>
      <c r="F34" s="140" t="n"/>
      <c r="G34" s="140" t="n"/>
      <c r="H34" s="140" t="n"/>
      <c r="I34" s="140" t="n"/>
      <c r="J34" s="140" t="n"/>
      <c r="K34" s="140" t="n"/>
      <c r="L34" s="141" t="n"/>
      <c r="M34" s="55" t="n"/>
      <c r="N34" s="55" t="n"/>
    </row>
    <row r="35" ht="46.95" customHeight="1" s="128">
      <c r="B35" s="52" t="inlineStr">
        <is>
          <t>Categorie reglementata a produsului (alimentar / farma / cosmetic / supliment / altul)</t>
        </is>
      </c>
      <c r="C35" s="145" t="n"/>
      <c r="D35" s="143" t="n"/>
      <c r="E35" s="143" t="n"/>
      <c r="F35" s="143" t="n"/>
      <c r="G35" s="143" t="n"/>
      <c r="H35" s="143" t="n"/>
      <c r="I35" s="143" t="n"/>
      <c r="J35" s="143" t="n"/>
      <c r="K35" s="143" t="n"/>
      <c r="L35" s="144" t="n"/>
      <c r="M35" s="55" t="n"/>
      <c r="N35" s="55" t="n"/>
    </row>
    <row r="36" ht="46.95" customHeight="1" s="128">
      <c r="B36" s="52" t="inlineStr">
        <is>
          <t>Functii cerute ambalajului (pompa, picurator, spray, flip-top, sigiliu, protectie copii)</t>
        </is>
      </c>
      <c r="C36" s="145" t="n"/>
      <c r="D36" s="143" t="n"/>
      <c r="E36" s="143" t="n"/>
      <c r="F36" s="143" t="n"/>
      <c r="G36" s="143" t="n"/>
      <c r="H36" s="143" t="n"/>
      <c r="I36" s="143" t="n"/>
      <c r="J36" s="143" t="n"/>
      <c r="K36" s="143" t="n"/>
      <c r="L36" s="144" t="n"/>
      <c r="M36" s="55" t="n"/>
      <c r="N36" s="55" t="n"/>
    </row>
    <row r="37" ht="30" customHeight="1" s="128">
      <c r="B37" s="52" t="inlineStr">
        <is>
          <t>Sensibilitate la oxigen</t>
        </is>
      </c>
      <c r="C37" s="139" t="n"/>
      <c r="D37" s="140" t="n"/>
      <c r="E37" s="140" t="n"/>
      <c r="F37" s="140" t="n"/>
      <c r="G37" s="140" t="n"/>
      <c r="H37" s="140" t="n"/>
      <c r="I37" s="140" t="n"/>
      <c r="J37" s="140" t="n"/>
      <c r="K37" s="140" t="n"/>
      <c r="L37" s="141" t="n"/>
      <c r="M37" s="55" t="n"/>
      <c r="N37" s="55" t="n"/>
    </row>
    <row r="38" ht="30" customHeight="1" s="128">
      <c r="B38" s="52" t="inlineStr">
        <is>
          <t>Sensibilitate la lumina / UV</t>
        </is>
      </c>
      <c r="C38" s="139" t="n"/>
      <c r="D38" s="140" t="n"/>
      <c r="E38" s="140" t="n"/>
      <c r="F38" s="140" t="n"/>
      <c r="G38" s="140" t="n"/>
      <c r="H38" s="140" t="n"/>
      <c r="I38" s="140" t="n"/>
      <c r="J38" s="140" t="n"/>
      <c r="K38" s="140" t="n"/>
      <c r="L38" s="141" t="n"/>
      <c r="M38" s="55" t="n"/>
      <c r="N38" s="55" t="n"/>
    </row>
    <row r="39" ht="30" customHeight="1" s="128">
      <c r="B39" s="52" t="inlineStr">
        <is>
          <t>Sensibilitate la umiditate</t>
        </is>
      </c>
      <c r="C39" s="139" t="n"/>
      <c r="D39" s="140" t="n"/>
      <c r="E39" s="140" t="n"/>
      <c r="F39" s="140" t="n"/>
      <c r="G39" s="140" t="n"/>
      <c r="H39" s="140" t="n"/>
      <c r="I39" s="140" t="n"/>
      <c r="J39" s="140" t="n"/>
      <c r="K39" s="140" t="n"/>
      <c r="L39" s="141" t="n"/>
      <c r="M39" s="55" t="n"/>
      <c r="N39" s="55" t="n"/>
    </row>
    <row r="40" ht="31.95" customHeight="1" s="128">
      <c r="B40" s="52" t="inlineStr">
        <is>
          <t>Compatibilitate chimica necesara (grasimi, alcool, acizi, uleiuri)</t>
        </is>
      </c>
      <c r="C40" s="139" t="n"/>
      <c r="D40" s="140" t="n"/>
      <c r="E40" s="140" t="n"/>
      <c r="F40" s="140" t="n"/>
      <c r="G40" s="140" t="n"/>
      <c r="H40" s="140" t="n"/>
      <c r="I40" s="140" t="n"/>
      <c r="J40" s="140" t="n"/>
      <c r="K40" s="140" t="n"/>
      <c r="L40" s="141" t="n"/>
      <c r="M40" s="55" t="n"/>
      <c r="N40" s="55" t="n"/>
    </row>
    <row r="41" ht="30" customHeight="1" s="128">
      <c r="B41" s="52" t="inlineStr">
        <is>
          <t>Temperatura de umplere</t>
        </is>
      </c>
      <c r="C41" s="139" t="n"/>
      <c r="D41" s="140" t="n"/>
      <c r="E41" s="140" t="n"/>
      <c r="F41" s="140" t="n"/>
      <c r="G41" s="140" t="n"/>
      <c r="H41" s="140" t="n"/>
      <c r="I41" s="140" t="n"/>
      <c r="J41" s="140" t="n"/>
      <c r="K41" s="140" t="n"/>
      <c r="L41" s="141" t="n"/>
      <c r="M41" s="55" t="n"/>
      <c r="N41" s="55" t="n"/>
    </row>
    <row r="42" ht="30" customHeight="1" s="128">
      <c r="B42" s="52" t="inlineStr">
        <is>
          <t>Temperatura / conditii de depozitare</t>
        </is>
      </c>
      <c r="C42" s="139" t="n"/>
      <c r="D42" s="140" t="n"/>
      <c r="E42" s="140" t="n"/>
      <c r="F42" s="140" t="n"/>
      <c r="G42" s="140" t="n"/>
      <c r="H42" s="140" t="n"/>
      <c r="I42" s="140" t="n"/>
      <c r="J42" s="140" t="n"/>
      <c r="K42" s="140" t="n"/>
      <c r="L42" s="141" t="n"/>
      <c r="M42" s="55" t="n"/>
      <c r="N42" s="55" t="n"/>
    </row>
    <row r="43" ht="30" customHeight="1" s="128">
      <c r="B43" s="52" t="inlineStr">
        <is>
          <t>Valabilitate / shelf-life dorita</t>
        </is>
      </c>
      <c r="C43" s="142" t="n"/>
      <c r="D43" s="143" t="n"/>
      <c r="E43" s="143" t="n"/>
      <c r="F43" s="143" t="n"/>
      <c r="G43" s="143" t="n"/>
      <c r="H43" s="143" t="n"/>
      <c r="I43" s="143" t="n"/>
      <c r="J43" s="143" t="n"/>
      <c r="K43" s="143" t="n"/>
      <c r="L43" s="144" t="n"/>
      <c r="M43" s="55" t="n"/>
      <c r="N43" s="55" t="n"/>
    </row>
    <row r="45" ht="19.5" customHeight="1" s="128">
      <c r="B45" s="35" t="inlineStr">
        <is>
          <t>5. Procesul de ambalare si utilajele clientului</t>
        </is>
      </c>
      <c r="C45" s="35" t="n"/>
      <c r="D45" s="35" t="n"/>
      <c r="E45" s="36" t="n"/>
      <c r="F45" s="36" t="n"/>
      <c r="G45" s="36" t="n"/>
      <c r="H45" s="36" t="n"/>
      <c r="I45" s="36" t="n"/>
      <c r="J45" s="36" t="n"/>
      <c r="K45" s="36" t="n"/>
      <c r="L45" s="36" t="n"/>
      <c r="M45" s="51" t="n"/>
      <c r="N45" s="51" t="n"/>
    </row>
    <row r="46" ht="31.95" customHeight="1" s="128">
      <c r="B46" s="52" t="inlineStr">
        <is>
          <t>Tip linie de ambalare (automata / semi-automata / manuala)</t>
        </is>
      </c>
      <c r="C46" s="139" t="n"/>
      <c r="D46" s="140" t="n"/>
      <c r="E46" s="140" t="n"/>
      <c r="F46" s="140" t="n"/>
      <c r="G46" s="140" t="n"/>
      <c r="H46" s="140" t="n"/>
      <c r="I46" s="140" t="n"/>
      <c r="J46" s="140" t="n"/>
      <c r="K46" s="140" t="n"/>
      <c r="L46" s="141" t="n"/>
      <c r="M46" s="55" t="n"/>
      <c r="N46" s="55" t="n"/>
    </row>
    <row r="47" ht="30" customHeight="1" s="128">
      <c r="B47" s="52" t="inlineStr">
        <is>
          <t>Viteza linie (buc/min)</t>
        </is>
      </c>
      <c r="C47" s="139" t="n"/>
      <c r="D47" s="140" t="n"/>
      <c r="E47" s="140" t="n"/>
      <c r="F47" s="140" t="n"/>
      <c r="G47" s="140" t="n"/>
      <c r="H47" s="140" t="n"/>
      <c r="I47" s="140" t="n"/>
      <c r="J47" s="140" t="n"/>
      <c r="K47" s="140" t="n"/>
      <c r="L47" s="141" t="n"/>
      <c r="M47" s="55" t="n"/>
      <c r="N47" s="55" t="n"/>
    </row>
    <row r="48" ht="31.95" customHeight="1" s="128">
      <c r="B48" s="52" t="inlineStr">
        <is>
          <t>Tip umplere (volumetrica, la rece/cald, aseptica)</t>
        </is>
      </c>
      <c r="C48" s="139" t="n"/>
      <c r="D48" s="140" t="n"/>
      <c r="E48" s="140" t="n"/>
      <c r="F48" s="140" t="n"/>
      <c r="G48" s="140" t="n"/>
      <c r="H48" s="140" t="n"/>
      <c r="I48" s="140" t="n"/>
      <c r="J48" s="140" t="n"/>
      <c r="K48" s="140" t="n"/>
      <c r="L48" s="141" t="n"/>
      <c r="M48" s="55" t="n"/>
      <c r="N48" s="55" t="n"/>
    </row>
    <row r="49" ht="31.95" customHeight="1" s="128">
      <c r="B49" s="52" t="inlineStr">
        <is>
          <t>Tip inchidere folosit pe linie (infoliere, capsare, presare, inductie)</t>
        </is>
      </c>
      <c r="C49" s="139" t="n"/>
      <c r="D49" s="140" t="n"/>
      <c r="E49" s="140" t="n"/>
      <c r="F49" s="140" t="n"/>
      <c r="G49" s="140" t="n"/>
      <c r="H49" s="140" t="n"/>
      <c r="I49" s="140" t="n"/>
      <c r="J49" s="140" t="n"/>
      <c r="K49" s="140" t="n"/>
      <c r="L49" s="141" t="n"/>
      <c r="M49" s="55" t="n"/>
      <c r="N49" s="55" t="n"/>
    </row>
    <row r="50" ht="31.95" customHeight="1" s="128">
      <c r="B50" s="52" t="inlineStr">
        <is>
          <t>Cod gat / finisaj compatibil cu echipamentul existent</t>
        </is>
      </c>
      <c r="C50" s="139" t="n"/>
      <c r="D50" s="140" t="n"/>
      <c r="E50" s="140" t="n"/>
      <c r="F50" s="140" t="n"/>
      <c r="G50" s="140" t="n"/>
      <c r="H50" s="140" t="n"/>
      <c r="I50" s="140" t="n"/>
      <c r="J50" s="140" t="n"/>
      <c r="K50" s="140" t="n"/>
      <c r="L50" s="141" t="n"/>
      <c r="M50" s="55" t="n"/>
      <c r="N50" s="55" t="n"/>
    </row>
    <row r="51" ht="31.95" customHeight="1" s="128">
      <c r="B51" s="52" t="inlineStr">
        <is>
          <t>Tip etichetare folosit (aplicator rece/cald, sleeve, manual)</t>
        </is>
      </c>
      <c r="C51" s="139" t="n"/>
      <c r="D51" s="140" t="n"/>
      <c r="E51" s="140" t="n"/>
      <c r="F51" s="140" t="n"/>
      <c r="G51" s="140" t="n"/>
      <c r="H51" s="140" t="n"/>
      <c r="I51" s="140" t="n"/>
      <c r="J51" s="140" t="n"/>
      <c r="K51" s="140" t="n"/>
      <c r="L51" s="141" t="n"/>
      <c r="M51" s="55" t="n"/>
      <c r="N51" s="55" t="n"/>
    </row>
    <row r="52" ht="30" customHeight="1" s="128">
      <c r="B52" s="52" t="inlineStr">
        <is>
          <t>Ambalaj secundar / paletizare</t>
        </is>
      </c>
      <c r="C52" s="139" t="n"/>
      <c r="D52" s="140" t="n"/>
      <c r="E52" s="140" t="n"/>
      <c r="F52" s="140" t="n"/>
      <c r="G52" s="140" t="n"/>
      <c r="H52" s="140" t="n"/>
      <c r="I52" s="140" t="n"/>
      <c r="J52" s="140" t="n"/>
      <c r="K52" s="140" t="n"/>
      <c r="L52" s="141" t="n"/>
      <c r="M52" s="55" t="n"/>
      <c r="N52" s="55" t="n"/>
    </row>
    <row r="53" ht="31.95" customHeight="1" s="128">
      <c r="B53" s="52" t="inlineStr">
        <is>
          <t>Limitari cunoscute ale liniei (greutate maxima, diametru, inaltime)</t>
        </is>
      </c>
      <c r="C53" s="142" t="n"/>
      <c r="D53" s="143" t="n"/>
      <c r="E53" s="143" t="n"/>
      <c r="F53" s="143" t="n"/>
      <c r="G53" s="143" t="n"/>
      <c r="H53" s="143" t="n"/>
      <c r="I53" s="143" t="n"/>
      <c r="J53" s="143" t="n"/>
      <c r="K53" s="143" t="n"/>
      <c r="L53" s="144" t="n"/>
      <c r="M53" s="55" t="n"/>
      <c r="N53" s="55" t="n"/>
    </row>
    <row r="55" ht="19.5" customHeight="1" s="128">
      <c r="B55" s="35" t="inlineStr">
        <is>
          <t>6. Analiza de risc si conformitate PPWR — completata de MIRALEDO, impreuna cu clientul</t>
        </is>
      </c>
      <c r="C55" s="35" t="n"/>
      <c r="D55" s="35" t="n"/>
      <c r="E55" s="36" t="n"/>
      <c r="F55" s="36" t="n"/>
      <c r="G55" s="36" t="n"/>
      <c r="H55" s="36" t="n"/>
      <c r="I55" s="36" t="n"/>
      <c r="J55" s="36" t="n"/>
      <c r="K55" s="36" t="n"/>
      <c r="L55" s="36" t="n"/>
      <c r="M55" s="51" t="n"/>
      <c r="N55" s="51" t="n"/>
    </row>
    <row r="56" ht="30" customHeight="1" s="128">
      <c r="B56" s="112" t="inlineStr">
        <is>
          <t>Evaluare comerciala interna MIRALEDO a ambalajului ACTUAL. Nu reprezinta o certificare oficiala PPWR (nu exista asa ceva) - clasa de la sectiunea 3 e calculata din datele introduse pentru fiecare componenta.</t>
        </is>
      </c>
      <c r="C56" s="154" t="n"/>
      <c r="D56" s="154" t="n"/>
      <c r="E56" s="154" t="n"/>
      <c r="F56" s="154" t="n"/>
      <c r="G56" s="154" t="n"/>
      <c r="H56" s="154" t="n"/>
      <c r="I56" s="154" t="n"/>
      <c r="J56" s="154" t="n"/>
      <c r="K56" s="154" t="n"/>
      <c r="L56" s="154" t="n"/>
      <c r="M56" s="82" t="n"/>
      <c r="N56" s="82" t="n"/>
    </row>
    <row r="57" ht="31.95" customHeight="1" s="128">
      <c r="B57" s="52" t="inlineStr">
        <is>
          <t>Testare substante restrictionate (PFAS etc.) efectuata?</t>
        </is>
      </c>
      <c r="C57" s="139" t="n"/>
      <c r="D57" s="140" t="n"/>
      <c r="E57" s="140" t="n"/>
      <c r="F57" s="140" t="n"/>
      <c r="G57" s="140" t="n"/>
      <c r="H57" s="140" t="n"/>
      <c r="I57" s="140" t="n"/>
      <c r="J57" s="140" t="n"/>
      <c r="K57" s="140" t="n"/>
      <c r="L57" s="141" t="n"/>
      <c r="M57" s="55" t="n"/>
      <c r="N57" s="55" t="n"/>
    </row>
    <row r="58" ht="45" customHeight="1" s="128">
      <c r="B58" s="52" t="inlineStr">
        <is>
          <t>Documentatie de conformitate disponibila (documentatie tehnica - Anexa VII; declaratie UE - Anexa VIII)</t>
        </is>
      </c>
      <c r="C58" s="139" t="n"/>
      <c r="D58" s="140" t="n"/>
      <c r="E58" s="140" t="n"/>
      <c r="F58" s="140" t="n"/>
      <c r="G58" s="140" t="n"/>
      <c r="H58" s="140" t="n"/>
      <c r="I58" s="140" t="n"/>
      <c r="J58" s="140" t="n"/>
      <c r="K58" s="140" t="n"/>
      <c r="L58" s="141" t="n"/>
      <c r="M58" s="55" t="n"/>
      <c r="N58" s="55" t="n"/>
    </row>
    <row r="59" ht="31.95" customHeight="1" s="128">
      <c r="B59" s="52" t="inlineStr">
        <is>
          <t>Expunere la restrictii de format PPWR (Anexa V)</t>
        </is>
      </c>
      <c r="C59" s="139" t="n"/>
      <c r="D59" s="140" t="n"/>
      <c r="E59" s="140" t="n"/>
      <c r="F59" s="140" t="n"/>
      <c r="G59" s="140" t="n"/>
      <c r="H59" s="140" t="n"/>
      <c r="I59" s="140" t="n"/>
      <c r="J59" s="140" t="n"/>
      <c r="K59" s="140" t="n"/>
      <c r="L59" s="141" t="n"/>
      <c r="M59" s="55" t="n"/>
      <c r="N59" s="55" t="n"/>
    </row>
    <row r="60" ht="31.95" customHeight="1" s="128">
      <c r="B60" s="52" t="inlineStr">
        <is>
          <t>Aplicabilitate obligatii reutilizare / reumplere (2027-2030)</t>
        </is>
      </c>
      <c r="C60" s="139" t="n"/>
      <c r="D60" s="140" t="n"/>
      <c r="E60" s="140" t="n"/>
      <c r="F60" s="140" t="n"/>
      <c r="G60" s="140" t="n"/>
      <c r="H60" s="140" t="n"/>
      <c r="I60" s="140" t="n"/>
      <c r="J60" s="140" t="n"/>
      <c r="K60" s="140" t="n"/>
      <c r="L60" s="141" t="n"/>
      <c r="M60" s="55" t="n"/>
      <c r="N60" s="55" t="n"/>
    </row>
    <row r="61" ht="31.95" customHeight="1" s="128">
      <c r="B61" s="52" t="inlineStr">
        <is>
          <t>Nivel de risc PPWR (Ridicat / Mediu / Scazut)</t>
        </is>
      </c>
      <c r="C61" s="139" t="n"/>
      <c r="D61" s="140" t="n"/>
      <c r="E61" s="140" t="n"/>
      <c r="F61" s="140" t="n"/>
      <c r="G61" s="140" t="n"/>
      <c r="H61" s="140" t="n"/>
      <c r="I61" s="140" t="n"/>
      <c r="J61" s="140" t="n"/>
      <c r="K61" s="140" t="n"/>
      <c r="L61" s="141" t="n"/>
      <c r="M61" s="55" t="n"/>
      <c r="N61" s="55" t="n"/>
    </row>
    <row r="62" ht="30" customHeight="1" s="128">
      <c r="B62" s="52" t="inlineStr">
        <is>
          <t>Motivatie risc identificat</t>
        </is>
      </c>
      <c r="C62" s="139" t="n"/>
      <c r="D62" s="140" t="n"/>
      <c r="E62" s="140" t="n"/>
      <c r="F62" s="140" t="n"/>
      <c r="G62" s="140" t="n"/>
      <c r="H62" s="140" t="n"/>
      <c r="I62" s="140" t="n"/>
      <c r="J62" s="140" t="n"/>
      <c r="K62" s="140" t="n"/>
      <c r="L62" s="141" t="n"/>
      <c r="M62" s="55" t="n"/>
      <c r="N62" s="55" t="n"/>
    </row>
    <row r="63" ht="31.95" customHeight="1" s="128">
      <c r="B63" s="52" t="inlineStr">
        <is>
          <t>Oportunitati de imbunatatire propuse de MIRALEDO</t>
        </is>
      </c>
      <c r="C63" s="139" t="n"/>
      <c r="D63" s="140" t="n"/>
      <c r="E63" s="140" t="n"/>
      <c r="F63" s="140" t="n"/>
      <c r="G63" s="140" t="n"/>
      <c r="H63" s="140" t="n"/>
      <c r="I63" s="140" t="n"/>
      <c r="J63" s="140" t="n"/>
      <c r="K63" s="140" t="n"/>
      <c r="L63" s="141" t="n"/>
      <c r="M63" s="55" t="n"/>
      <c r="N63" s="55" t="n"/>
    </row>
    <row r="64" ht="31.95" customHeight="1" s="128">
      <c r="B64" s="52" t="inlineStr">
        <is>
          <t>Beneficiu estimat (cost EPR, conformitate, imagine)</t>
        </is>
      </c>
      <c r="C64" s="139" t="n"/>
      <c r="D64" s="140" t="n"/>
      <c r="E64" s="140" t="n"/>
      <c r="F64" s="140" t="n"/>
      <c r="G64" s="140" t="n"/>
      <c r="H64" s="140" t="n"/>
      <c r="I64" s="140" t="n"/>
      <c r="J64" s="140" t="n"/>
      <c r="K64" s="140" t="n"/>
      <c r="L64" s="141" t="n"/>
      <c r="M64" s="55" t="n"/>
      <c r="N64" s="55" t="n"/>
    </row>
    <row r="65" ht="30" customHeight="1" s="128">
      <c r="B65" s="52" t="inlineStr">
        <is>
          <t>Termen legal relevant / urgenta</t>
        </is>
      </c>
      <c r="C65" s="142" t="n"/>
      <c r="D65" s="143" t="n"/>
      <c r="E65" s="143" t="n"/>
      <c r="F65" s="143" t="n"/>
      <c r="G65" s="143" t="n"/>
      <c r="H65" s="143" t="n"/>
      <c r="I65" s="143" t="n"/>
      <c r="J65" s="143" t="n"/>
      <c r="K65" s="143" t="n"/>
      <c r="L65" s="144" t="n"/>
      <c r="M65" s="55" t="n"/>
      <c r="N65" s="55" t="n"/>
    </row>
    <row r="67" ht="19.5" customHeight="1" s="128">
      <c r="B67" s="35" t="inlineStr">
        <is>
          <t>7. Comercial si pasi urmatori — sectiune interna MIRALEDO</t>
        </is>
      </c>
      <c r="C67" s="35" t="n"/>
      <c r="D67" s="35" t="n"/>
      <c r="E67" s="36" t="n"/>
      <c r="F67" s="36" t="n"/>
      <c r="G67" s="36" t="n"/>
      <c r="H67" s="36" t="n"/>
      <c r="I67" s="36" t="n"/>
      <c r="J67" s="36" t="n"/>
      <c r="K67" s="36" t="n"/>
      <c r="L67" s="36" t="n"/>
      <c r="M67" s="51" t="n"/>
      <c r="N67" s="51" t="n"/>
    </row>
    <row r="68" ht="30" customHeight="1" s="128">
      <c r="B68" s="52" t="inlineStr">
        <is>
          <t>Pret tinta client (unitate completa, EUR / 1000 buc)</t>
        </is>
      </c>
      <c r="C68" s="139" t="n"/>
      <c r="D68" s="140" t="n"/>
      <c r="E68" s="140" t="n"/>
      <c r="F68" s="140" t="n"/>
      <c r="G68" s="140" t="n"/>
      <c r="H68" s="140" t="n"/>
      <c r="I68" s="140" t="n"/>
      <c r="J68" s="140" t="n"/>
      <c r="K68" s="140" t="n"/>
      <c r="L68" s="141" t="n"/>
      <c r="M68" s="55" t="n"/>
      <c r="N68" s="55" t="n"/>
    </row>
    <row r="69" ht="30" customHeight="1" s="128">
      <c r="B69" s="52" t="inlineStr">
        <is>
          <t>Conditii de livrare (Incoterms)</t>
        </is>
      </c>
      <c r="C69" s="139" t="n"/>
      <c r="D69" s="140" t="n"/>
      <c r="E69" s="140" t="n"/>
      <c r="F69" s="140" t="n"/>
      <c r="G69" s="140" t="n"/>
      <c r="H69" s="140" t="n"/>
      <c r="I69" s="140" t="n"/>
      <c r="J69" s="140" t="n"/>
      <c r="K69" s="140" t="n"/>
      <c r="L69" s="141" t="n"/>
      <c r="M69" s="55" t="n"/>
      <c r="N69" s="55" t="n"/>
    </row>
    <row r="70" ht="31.95" customHeight="1" s="128">
      <c r="B70" s="52" t="inlineStr">
        <is>
          <t>Problema / nevoie identificata la client</t>
        </is>
      </c>
      <c r="C70" s="139" t="n"/>
      <c r="D70" s="140" t="n"/>
      <c r="E70" s="140" t="n"/>
      <c r="F70" s="140" t="n"/>
      <c r="G70" s="140" t="n"/>
      <c r="H70" s="140" t="n"/>
      <c r="I70" s="140" t="n"/>
      <c r="J70" s="140" t="n"/>
      <c r="K70" s="140" t="n"/>
      <c r="L70" s="141" t="n"/>
      <c r="M70" s="55" t="n"/>
      <c r="N70" s="55" t="n"/>
    </row>
    <row r="71" ht="31.95" customHeight="1" s="128">
      <c r="B71" s="52" t="inlineStr">
        <is>
          <t>Stadiu pipeline (vezi Sales Pipeline CRM)</t>
        </is>
      </c>
      <c r="C71" s="139" t="n"/>
      <c r="D71" s="140" t="n"/>
      <c r="E71" s="140" t="n"/>
      <c r="F71" s="140" t="n"/>
      <c r="G71" s="140" t="n"/>
      <c r="H71" s="140" t="n"/>
      <c r="I71" s="140" t="n"/>
      <c r="J71" s="140" t="n"/>
      <c r="K71" s="140" t="n"/>
      <c r="L71" s="141" t="n"/>
      <c r="M71" s="55" t="n"/>
      <c r="N71" s="55" t="n"/>
    </row>
    <row r="72" ht="30" customHeight="1" s="128">
      <c r="B72" s="52" t="inlineStr">
        <is>
          <t>Urmatoarea actiune</t>
        </is>
      </c>
      <c r="C72" s="139" t="n"/>
      <c r="D72" s="140" t="n"/>
      <c r="E72" s="140" t="n"/>
      <c r="F72" s="140" t="n"/>
      <c r="G72" s="140" t="n"/>
      <c r="H72" s="140" t="n"/>
      <c r="I72" s="140" t="n"/>
      <c r="J72" s="140" t="n"/>
      <c r="K72" s="140" t="n"/>
      <c r="L72" s="141" t="n"/>
      <c r="M72" s="55" t="n"/>
      <c r="N72" s="55" t="n"/>
    </row>
    <row r="73" ht="30" customHeight="1" s="128">
      <c r="B73" s="52" t="inlineStr">
        <is>
          <t>Data urmatorului follow-up</t>
        </is>
      </c>
      <c r="C73" s="142" t="n"/>
      <c r="D73" s="143" t="n"/>
      <c r="E73" s="143" t="n"/>
      <c r="F73" s="143" t="n"/>
      <c r="G73" s="143" t="n"/>
      <c r="H73" s="143" t="n"/>
      <c r="I73" s="143" t="n"/>
      <c r="J73" s="143" t="n"/>
      <c r="K73" s="143" t="n"/>
      <c r="L73" s="144" t="n"/>
      <c r="M73" s="55" t="n"/>
      <c r="N73" s="55" t="n"/>
    </row>
    <row r="76" ht="18" customHeight="1" s="128">
      <c r="B76" s="54" t="inlineStr">
        <is>
          <t>Observatii</t>
        </is>
      </c>
      <c r="C76" s="155" t="n"/>
      <c r="D76" s="140" t="n"/>
      <c r="E76" s="140" t="n"/>
      <c r="F76" s="140" t="n"/>
      <c r="G76" s="140" t="n"/>
      <c r="H76" s="140" t="n"/>
      <c r="I76" s="140" t="n"/>
      <c r="J76" s="140" t="n"/>
      <c r="K76" s="140" t="n"/>
      <c r="L76" s="141" t="n"/>
      <c r="M76" s="4" t="n"/>
      <c r="N76" s="4" t="n"/>
    </row>
    <row r="77" ht="18" customHeight="1" s="128">
      <c r="C77" s="156" t="n"/>
      <c r="D77" s="157" t="n"/>
      <c r="E77" s="157" t="n"/>
      <c r="F77" s="157" t="n"/>
      <c r="G77" s="157" t="n"/>
      <c r="H77" s="157" t="n"/>
      <c r="I77" s="157" t="n"/>
      <c r="J77" s="157" t="n"/>
      <c r="K77" s="157" t="n"/>
      <c r="L77" s="158" t="n"/>
      <c r="M77" s="4" t="n"/>
      <c r="N77" s="4" t="n"/>
    </row>
    <row r="78" ht="18" customHeight="1" s="128">
      <c r="C78" s="159" t="n"/>
      <c r="D78" s="160" t="n"/>
      <c r="E78" s="160" t="n"/>
      <c r="F78" s="160" t="n"/>
      <c r="G78" s="160" t="n"/>
      <c r="H78" s="160" t="n"/>
      <c r="I78" s="160" t="n"/>
      <c r="J78" s="160" t="n"/>
      <c r="K78" s="160" t="n"/>
      <c r="L78" s="161" t="n"/>
      <c r="M78" s="4" t="n"/>
      <c r="N78" s="4" t="n"/>
    </row>
  </sheetData>
  <sheetProtection selectLockedCells="0" selectUnlockedCells="0" sheet="1" objects="1" insertRows="1" insertHyperlinks="1" autoFilter="1" scenarios="1" formatColumns="0" deleteColumns="1" insertColumns="1" pivotTables="1" deleteRows="1" formatCells="1" formatRows="0" sort="1"/>
  <mergeCells count="54">
    <mergeCell ref="C71:L71"/>
    <mergeCell ref="E12:L12"/>
    <mergeCell ref="E28:G28"/>
    <mergeCell ref="C61:L61"/>
    <mergeCell ref="C39:L39"/>
    <mergeCell ref="C52:L52"/>
    <mergeCell ref="C70:L70"/>
    <mergeCell ref="C8:L8"/>
    <mergeCell ref="C48:L48"/>
    <mergeCell ref="C7:L7"/>
    <mergeCell ref="E14:L14"/>
    <mergeCell ref="E30:G30"/>
    <mergeCell ref="C76:L78"/>
    <mergeCell ref="B29:D29"/>
    <mergeCell ref="C38:L38"/>
    <mergeCell ref="C72:L72"/>
    <mergeCell ref="B56:L56"/>
    <mergeCell ref="C57:L57"/>
    <mergeCell ref="C37:L37"/>
    <mergeCell ref="B28:D28"/>
    <mergeCell ref="C53:L53"/>
    <mergeCell ref="C69:L69"/>
    <mergeCell ref="C49:L49"/>
    <mergeCell ref="E10:L10"/>
    <mergeCell ref="C68:L68"/>
    <mergeCell ref="C34:L34"/>
    <mergeCell ref="B30:D30"/>
    <mergeCell ref="E13:L13"/>
    <mergeCell ref="C6:L6"/>
    <mergeCell ref="C62:L62"/>
    <mergeCell ref="C42:L42"/>
    <mergeCell ref="C58:L58"/>
    <mergeCell ref="C5:L5"/>
    <mergeCell ref="C73:L73"/>
    <mergeCell ref="C4:L4"/>
    <mergeCell ref="C64:L64"/>
    <mergeCell ref="E11:L11"/>
    <mergeCell ref="B26:D26"/>
    <mergeCell ref="C35:L35"/>
    <mergeCell ref="C63:L63"/>
    <mergeCell ref="C65:L65"/>
    <mergeCell ref="C47:L47"/>
    <mergeCell ref="C50:L50"/>
    <mergeCell ref="C41:L41"/>
    <mergeCell ref="C40:L40"/>
    <mergeCell ref="B33:L33"/>
    <mergeCell ref="B27:D27"/>
    <mergeCell ref="C59:L59"/>
    <mergeCell ref="C43:L43"/>
    <mergeCell ref="C51:L51"/>
    <mergeCell ref="C46:L46"/>
    <mergeCell ref="E29:G29"/>
    <mergeCell ref="C60:L60"/>
    <mergeCell ref="C36:L36"/>
  </mergeCells>
  <dataValidations count="6">
    <dataValidation sqref="E18:E25" showDropDown="0" showInputMessage="1" showErrorMessage="1" allowBlank="1" errorTitle="Valoare invalida" error="Greutatea se scrie in grame, ca numar pozitiv (ex: 12 sau 1,5)." type="decimal">
      <formula1>0</formula1>
      <formula2>100000</formula2>
    </dataValidation>
    <dataValidation sqref="F18:F25" showDropDown="0" showInputMessage="1" showErrorMessage="1" allowBlank="1" errorTitle="Valoare invalida" error="Scrieti un procent intre 0% si 100% (ex: 60%)." type="decimal">
      <formula1>0</formula1>
      <formula2>1</formula2>
    </dataValidation>
    <dataValidation sqref="H18:H25" showDropDown="0" showInputMessage="1" showErrorMessage="1" allowBlank="1" errorTitle="Valoare invalida" error="Scrieti un procent intre 0% si 100% (ex: 30%)." type="decimal">
      <formula1>0</formula1>
      <formula2>1</formula2>
    </dataValidation>
    <dataValidation sqref="C11:C14" showDropDown="0" showInputMessage="1" showErrorMessage="1" allowBlank="1" errorTitle="Valoare invalida" error="Scrieti volumul anual ca numar (buc/an), fara text." type="decimal" operator="greaterThanOrEqual">
      <formula1>0</formula1>
    </dataValidation>
    <dataValidation sqref="C35" showDropDown="0" showInputMessage="1" showErrorMessage="1" allowBlank="1" errorTitle="Valoare invalida" error="Valoarea nu este in lista. Puteti continua daca este intentionat." type="list" errorStyle="information">
      <formula1>"Alimentar,Farma,Cosmetic,Supliment alimentar,Altul"</formula1>
    </dataValidation>
    <dataValidation sqref="K18:K25" showDropDown="0" showInputMessage="1" showErrorMessage="1" allowBlank="1" errorTitle="Valoare invalida" error="Scrieti pretul ca numar in EUR / 1000 buc (ex: 300)." type="decimal" operator="greaterThanOrEqual">
      <formula1>0</formula1>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2026-10-12T11:45:17Z</dcterms:created>
  <dcterms:modified xmlns:dcterms="http://purl.org/dc/terms/" xmlns:xsi="http://www.w3.org/2001/XMLSchema-instance" xsi:type="dcterms:W3CDTF">2026-10-29T08:08:44Z</dcterms:modified>
  <cp:lastModifiedBy>Piotr Bocancea</cp:lastModifiedBy>
  <cp:revision>0</cp:revision>
</cp:coreProperties>
</file>