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2" activeTab="2" autoFilterDateGrouping="1"/>
  </bookViews>
  <sheets>
    <sheet xmlns:r="http://schemas.openxmlformats.org/officeDocument/2006/relationships" name="Instructiuni" sheetId="1" state="visible" r:id="rId1"/>
    <sheet xmlns:r="http://schemas.openxmlformats.org/officeDocument/2006/relationships" name="Info Companie" sheetId="2" state="visible" r:id="rId2"/>
    <sheet xmlns:r="http://schemas.openxmlformats.org/officeDocument/2006/relationships" name="Unitati Ambalaj" sheetId="3" state="visible" r:id="rId3"/>
    <sheet xmlns:r="http://schemas.openxmlformats.org/officeDocument/2006/relationships" name="Fisa Unitate (Template)" sheetId="4" state="visible" r:id="rId4"/>
    <sheet xmlns:r="http://schemas.openxmlformats.org/officeDocument/2006/relationships" name="Unitate 1" sheetId="5" state="visible" r:id="rId5"/>
    <sheet xmlns:r="http://schemas.openxmlformats.org/officeDocument/2006/relationships" name="Unitate 2" sheetId="6" state="visible" r:id="rId6"/>
  </sheets>
  <definedNames/>
  <calcPr calcId="191029" fullCalcOnLoad="1" iterateDelta="0.0001"/>
</workbook>
</file>

<file path=xl/styles.xml><?xml version="1.0" encoding="utf-8"?>
<styleSheet xmlns="http://schemas.openxmlformats.org/spreadsheetml/2006/main">
  <numFmts count="3">
    <numFmt numFmtId="164" formatCode="0.0%"/>
    <numFmt numFmtId="165" formatCode="#,##0.0;\-#,##0.0;"/>
    <numFmt numFmtId="166" formatCode="#,##0.0"/>
  </numFmts>
  <fonts count="22">
    <font>
      <name val="Calibri"/>
      <charset val="1"/>
      <family val="2"/>
      <color theme="1"/>
      <sz val="11"/>
    </font>
    <font>
      <name val="Arial"/>
      <sz val="10"/>
    </font>
    <font>
      <name val="Arial"/>
      <charset val="1"/>
      <b val="1"/>
      <color rgb="FFFFFFFF"/>
      <sz val="16"/>
    </font>
    <font>
      <name val="Arial"/>
      <charset val="1"/>
      <b val="1"/>
      <color rgb="FF1F3864"/>
      <sz val="11"/>
    </font>
    <font>
      <name val="Arial"/>
      <charset val="1"/>
      <sz val="10"/>
    </font>
    <font>
      <name val="Arial"/>
      <charset val="1"/>
      <b val="1"/>
      <sz val="10"/>
    </font>
    <font>
      <name val="Arial"/>
      <charset val="1"/>
      <i val="1"/>
      <color rgb="FF808080"/>
      <sz val="9"/>
    </font>
    <font>
      <name val="Arial"/>
      <charset val="1"/>
      <i val="1"/>
      <color rgb="FF808080"/>
      <sz val="10"/>
    </font>
    <font>
      <name val="Arial"/>
      <charset val="1"/>
      <b val="1"/>
      <color rgb="FFFFFFFF"/>
      <sz val="10"/>
    </font>
    <font>
      <name val="Arial"/>
      <charset val="1"/>
      <color rgb="FF375623"/>
      <sz val="10"/>
    </font>
    <font>
      <name val="Arial"/>
      <charset val="1"/>
      <b val="1"/>
      <color rgb="FF375623"/>
      <sz val="10"/>
    </font>
    <font>
      <name val="Arial"/>
      <color theme="1"/>
      <sz val="10"/>
    </font>
    <font>
      <name val="Arial"/>
      <b val="1"/>
      <color theme="1"/>
      <sz val="10"/>
    </font>
    <font>
      <name val="Arial"/>
      <b val="1"/>
      <color rgb="FFFFFFFF"/>
      <sz val="16"/>
    </font>
    <font>
      <name val="Arial"/>
      <i val="1"/>
      <color rgb="FF595959"/>
      <sz val="10"/>
    </font>
    <font>
      <name val="Arial"/>
      <b val="1"/>
      <color rgb="FF1F3864"/>
      <sz val="11"/>
    </font>
    <font>
      <name val="Arial"/>
      <b val="1"/>
      <i val="1"/>
      <color rgb="FF808080"/>
      <sz val="10"/>
    </font>
    <font>
      <name val="Arial"/>
      <i val="1"/>
      <color rgb="FF808080"/>
      <sz val="10"/>
    </font>
    <font>
      <name val="Arial"/>
      <color rgb="FF375623"/>
      <sz val="10"/>
    </font>
    <font>
      <name val="Arial"/>
      <b val="1"/>
      <color rgb="FFFFFFFF"/>
      <sz val="10"/>
    </font>
    <font>
      <name val="Arial"/>
      <b val="1"/>
      <color rgb="FF375623"/>
      <sz val="10"/>
    </font>
    <font>
      <name val="Calibri"/>
      <charset val="1"/>
      <family val="2"/>
      <i val="1"/>
      <color rgb="FF808080"/>
      <sz val="11"/>
    </font>
  </fonts>
  <fills count="15">
    <fill>
      <patternFill/>
    </fill>
    <fill>
      <patternFill patternType="gray125"/>
    </fill>
    <fill>
      <patternFill patternType="solid">
        <fgColor rgb="FF1F3864"/>
        <bgColor rgb="FF333399"/>
      </patternFill>
    </fill>
    <fill>
      <patternFill patternType="solid">
        <fgColor rgb="FFD9E2F3"/>
        <bgColor rgb="FFE2EFDA"/>
      </patternFill>
    </fill>
    <fill>
      <patternFill patternType="solid">
        <fgColor rgb="FFFFF2CC"/>
        <bgColor rgb="FFF2F2F2"/>
      </patternFill>
    </fill>
    <fill>
      <patternFill patternType="solid">
        <fgColor rgb="FFE2EFDA"/>
        <bgColor rgb="FFF2F2F2"/>
      </patternFill>
    </fill>
    <fill>
      <patternFill patternType="solid">
        <fgColor rgb="FFC6E0B4"/>
        <bgColor rgb="FFE2EFDA"/>
      </patternFill>
    </fill>
    <fill>
      <patternFill patternType="solid">
        <fgColor rgb="FFF2F2F2"/>
        <bgColor rgb="FFE2EFDA"/>
      </patternFill>
    </fill>
    <fill>
      <patternFill patternType="solid">
        <fgColor rgb="FF1F3864"/>
        <bgColor indexed="64"/>
      </patternFill>
    </fill>
    <fill>
      <patternFill patternType="solid">
        <fgColor rgb="FFD9E2F3"/>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C6E0B4"/>
        <bgColor indexed="64"/>
      </patternFill>
    </fill>
    <fill>
      <patternFill patternType="solid">
        <fgColor rgb="FFFFFFFF"/>
        <bgColor indexed="64"/>
      </patternFill>
    </fill>
  </fills>
  <borders count="17">
    <border>
      <left/>
      <right/>
      <top/>
      <bottom/>
      <diagonal/>
    </border>
    <border>
      <left style="thin">
        <color rgb="FFB7B7B7"/>
      </left>
      <right style="thin">
        <color rgb="FFB7B7B7"/>
      </right>
      <top style="thin">
        <color rgb="FFB7B7B7"/>
      </top>
      <bottom style="thin">
        <color rgb="FFB7B7B7"/>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B7B7B7"/>
      </left>
      <right/>
      <top style="thin">
        <color rgb="FFB7B7B7"/>
      </top>
      <bottom style="thin">
        <color rgb="FFB7B7B7"/>
      </bottom>
      <diagonal/>
    </border>
    <border>
      <left/>
      <right style="thin">
        <color rgb="FFB7B7B7"/>
      </right>
      <top style="thin">
        <color rgb="FFB7B7B7"/>
      </top>
      <bottom style="thin">
        <color rgb="FFB7B7B7"/>
      </bottom>
      <diagonal/>
    </border>
    <border>
      <left/>
      <right/>
      <top style="thin">
        <color rgb="FFB7B7B7"/>
      </top>
      <bottom style="thin">
        <color rgb="FFB7B7B7"/>
      </bottom>
      <diagonal/>
    </border>
    <border>
      <left/>
      <right/>
      <top/>
      <bottom style="thin">
        <color rgb="FFB7B7B7"/>
      </bottom>
      <diagonal/>
    </border>
    <border>
      <left style="thin">
        <color rgb="FFB7B7B7"/>
      </left>
      <right/>
      <top style="thin">
        <color rgb="FFB7B7B7"/>
      </top>
      <bottom/>
      <diagonal/>
    </border>
    <border>
      <left/>
      <right/>
      <top style="thin">
        <color rgb="FFB7B7B7"/>
      </top>
      <bottom/>
      <diagonal/>
    </border>
    <border>
      <left/>
      <right style="thin">
        <color rgb="FFB7B7B7"/>
      </right>
      <top style="thin">
        <color rgb="FFB7B7B7"/>
      </top>
      <bottom/>
      <diagonal/>
    </border>
    <border>
      <left style="thin">
        <color rgb="FFB7B7B7"/>
      </left>
      <right/>
      <top/>
      <bottom/>
      <diagonal/>
    </border>
    <border>
      <left/>
      <right style="thin">
        <color rgb="FFB7B7B7"/>
      </right>
      <top/>
      <bottom/>
      <diagonal/>
    </border>
    <border>
      <left style="thin">
        <color rgb="FFB7B7B7"/>
      </left>
      <right/>
      <top/>
      <bottom style="thin">
        <color rgb="FFB7B7B7"/>
      </bottom>
      <diagonal/>
    </border>
    <border>
      <left/>
      <right style="thin">
        <color rgb="FFB7B7B7"/>
      </right>
      <top/>
      <bottom style="thin">
        <color rgb="FFB7B7B7"/>
      </bottom>
      <diagonal/>
    </border>
    <border>
      <left style="thin">
        <color rgb="FFB7B7B7"/>
      </left>
      <right style="thin">
        <color rgb="FFB7B7B7"/>
      </right>
      <top style="thin">
        <color rgb="FFB7B7B7"/>
      </top>
      <bottom/>
      <diagonal/>
    </border>
  </borders>
  <cellStyleXfs count="1">
    <xf numFmtId="0" fontId="0" fillId="0" borderId="0"/>
  </cellStyleXfs>
  <cellXfs count="165">
    <xf numFmtId="0" fontId="0" fillId="0" borderId="0" pivotButton="0" quotePrefix="0" xfId="0"/>
    <xf numFmtId="0" fontId="6" fillId="0" borderId="0" applyAlignment="1" pivotButton="0" quotePrefix="0" xfId="0">
      <alignment vertical="top" wrapText="1"/>
    </xf>
    <xf numFmtId="0" fontId="5" fillId="0" borderId="1" applyAlignment="1" pivotButton="0" quotePrefix="0" xfId="0">
      <alignment horizontal="left" vertical="top" wrapText="1"/>
    </xf>
    <xf numFmtId="0" fontId="8" fillId="2" borderId="1" applyAlignment="1" pivotButton="0" quotePrefix="0" xfId="0">
      <alignment horizontal="center" vertical="center" wrapText="1"/>
    </xf>
    <xf numFmtId="0" fontId="11" fillId="0" borderId="0" applyAlignment="1" pivotButton="0" quotePrefix="0" xfId="0">
      <alignment vertical="top" wrapText="1"/>
    </xf>
    <xf numFmtId="0" fontId="13" fillId="8" borderId="0" applyAlignment="1" pivotButton="0" quotePrefix="0" xfId="0">
      <alignment vertical="center"/>
    </xf>
    <xf numFmtId="0" fontId="11" fillId="8" borderId="0" applyAlignment="1" pivotButton="0" quotePrefix="0" xfId="0">
      <alignment vertical="center" wrapText="1"/>
    </xf>
    <xf numFmtId="0" fontId="14" fillId="0" borderId="0" applyAlignment="1" pivotButton="0" quotePrefix="0" xfId="0">
      <alignment vertical="top"/>
    </xf>
    <xf numFmtId="0" fontId="15" fillId="9" borderId="0" applyAlignment="1" pivotButton="0" quotePrefix="0" xfId="0">
      <alignment vertical="center"/>
    </xf>
    <xf numFmtId="0" fontId="11" fillId="9" borderId="0" applyAlignment="1" pivotButton="0" quotePrefix="0" xfId="0">
      <alignment vertical="center" wrapText="1"/>
    </xf>
    <xf numFmtId="0" fontId="12" fillId="0" borderId="2" applyAlignment="1" pivotButton="0" quotePrefix="0" xfId="0">
      <alignment vertical="top" wrapText="1"/>
    </xf>
    <xf numFmtId="0" fontId="11" fillId="0" borderId="2" applyAlignment="1" pivotButton="0" quotePrefix="0" xfId="0">
      <alignment vertical="top" wrapText="1"/>
    </xf>
    <xf numFmtId="0" fontId="12" fillId="0" borderId="0" applyAlignment="1" pivotButton="0" quotePrefix="0" xfId="0">
      <alignment vertical="top" wrapText="1"/>
    </xf>
    <xf numFmtId="0" fontId="12" fillId="0" borderId="3" applyAlignment="1" pivotButton="0" quotePrefix="0" xfId="0">
      <alignment vertical="top" wrapText="1"/>
    </xf>
    <xf numFmtId="0" fontId="11" fillId="0" borderId="3" applyAlignment="1" pivotButton="0" quotePrefix="0" xfId="0">
      <alignment vertical="top" wrapText="1"/>
    </xf>
    <xf numFmtId="0" fontId="12" fillId="0" borderId="4" applyAlignment="1" pivotButton="0" quotePrefix="0" xfId="0">
      <alignment vertical="top" wrapText="1"/>
    </xf>
    <xf numFmtId="0" fontId="11" fillId="0" borderId="4" applyAlignment="1" pivotButton="0" quotePrefix="0" xfId="0">
      <alignment vertical="top" wrapText="1"/>
    </xf>
    <xf numFmtId="0" fontId="12" fillId="10" borderId="3" applyAlignment="1" pivotButton="0" quotePrefix="0" xfId="0">
      <alignment vertical="top" wrapText="1"/>
    </xf>
    <xf numFmtId="0" fontId="11" fillId="10" borderId="3" applyAlignment="1" pivotButton="0" quotePrefix="0" xfId="0">
      <alignment vertical="top" wrapText="1"/>
    </xf>
    <xf numFmtId="0" fontId="12" fillId="11" borderId="0" applyAlignment="1" pivotButton="0" quotePrefix="0" xfId="0">
      <alignment vertical="top" wrapText="1"/>
    </xf>
    <xf numFmtId="0" fontId="12" fillId="12" borderId="4" applyAlignment="1" pivotButton="0" quotePrefix="0" xfId="0">
      <alignment vertical="top" wrapText="1"/>
    </xf>
    <xf numFmtId="0" fontId="12" fillId="13" borderId="4" applyAlignment="1" pivotButton="0" quotePrefix="0" xfId="0">
      <alignment vertical="top" wrapText="1"/>
    </xf>
    <xf numFmtId="0" fontId="16" fillId="0" borderId="3" applyAlignment="1" pivotButton="0" quotePrefix="0" xfId="0">
      <alignment vertical="top" wrapText="1"/>
    </xf>
    <xf numFmtId="0" fontId="17" fillId="0" borderId="3" applyAlignment="1" pivotButton="0" quotePrefix="0" xfId="0">
      <alignment vertical="top" wrapText="1"/>
    </xf>
    <xf numFmtId="0" fontId="17" fillId="4" borderId="1" applyAlignment="1" pivotButton="0" quotePrefix="0" xfId="0">
      <alignment horizontal="center" vertical="center" wrapText="1"/>
    </xf>
    <xf numFmtId="164" fontId="18"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1" fillId="4" borderId="1" applyAlignment="1" pivotButton="0" quotePrefix="0" xfId="0">
      <alignment horizontal="center" vertical="center" wrapText="1"/>
    </xf>
    <xf numFmtId="0" fontId="1" fillId="4" borderId="1" applyAlignment="1" pivotButton="0" quotePrefix="0" xfId="0">
      <alignment horizontal="center" vertical="center" wrapText="1"/>
    </xf>
    <xf numFmtId="0" fontId="17" fillId="7" borderId="1" applyAlignment="1" pivotButton="0" quotePrefix="0" xfId="0">
      <alignment horizontal="left" vertical="center" wrapText="1"/>
    </xf>
    <xf numFmtId="0" fontId="1" fillId="4" borderId="1" applyAlignment="1" pivotButton="0" quotePrefix="0" xfId="0">
      <alignment horizontal="left" vertical="center" wrapText="1"/>
    </xf>
    <xf numFmtId="0" fontId="11" fillId="4" borderId="1" applyAlignment="1" pivotButton="0" quotePrefix="0" xfId="0">
      <alignment horizontal="left" vertical="center" wrapText="1"/>
    </xf>
    <xf numFmtId="165" fontId="18" fillId="5" borderId="1" applyAlignment="1" pivotButton="0" quotePrefix="0" xfId="0">
      <alignment horizontal="center" vertical="center" wrapText="1"/>
    </xf>
    <xf numFmtId="0" fontId="2" fillId="8" borderId="0" applyAlignment="1" pivotButton="0" quotePrefix="0" xfId="0">
      <alignment horizontal="left" vertical="center" indent="1"/>
    </xf>
    <xf numFmtId="0" fontId="0" fillId="8" borderId="0" pivotButton="0" quotePrefix="0" xfId="0"/>
    <xf numFmtId="0" fontId="3" fillId="9" borderId="0" applyAlignment="1" pivotButton="0" quotePrefix="0" xfId="0">
      <alignment horizontal="left" vertical="center" indent="1"/>
    </xf>
    <xf numFmtId="0" fontId="0" fillId="9" borderId="0" pivotButton="0" quotePrefix="0" xfId="0"/>
    <xf numFmtId="0" fontId="8" fillId="2" borderId="5" applyAlignment="1" pivotButton="0" quotePrefix="0" xfId="0">
      <alignment horizontal="center" vertical="center" wrapText="1"/>
    </xf>
    <xf numFmtId="166" fontId="9" fillId="5" borderId="1" applyAlignment="1" pivotButton="0" quotePrefix="0" xfId="0">
      <alignment horizontal="center" vertical="center"/>
    </xf>
    <xf numFmtId="166" fontId="10" fillId="6" borderId="1" applyAlignment="1" pivotButton="0" quotePrefix="0" xfId="0">
      <alignment horizontal="center" vertical="center"/>
    </xf>
    <xf numFmtId="0" fontId="10" fillId="14" borderId="1" applyAlignment="1" pivotButton="0" quotePrefix="0" xfId="0">
      <alignment horizontal="center" vertical="center"/>
    </xf>
    <xf numFmtId="164" fontId="10" fillId="6" borderId="1" applyAlignment="1" pivotButton="0" quotePrefix="0" xfId="0">
      <alignment horizontal="center" vertical="center"/>
    </xf>
    <xf numFmtId="0" fontId="4" fillId="4" borderId="1" applyAlignment="1" applyProtection="1" pivotButton="0" quotePrefix="0" xfId="0">
      <alignment horizontal="left" vertical="top" wrapText="1"/>
      <protection locked="0" hidden="0"/>
    </xf>
    <xf numFmtId="0" fontId="4" fillId="4" borderId="1" applyAlignment="1" applyProtection="1" pivotButton="0" quotePrefix="0" xfId="0">
      <alignment vertical="top" wrapText="1"/>
      <protection locked="0" hidden="0"/>
    </xf>
    <xf numFmtId="0" fontId="4" fillId="4" borderId="1" applyAlignment="1" applyProtection="1" pivotButton="0" quotePrefix="0" xfId="0">
      <alignment horizontal="center" vertical="center"/>
      <protection locked="0" hidden="0"/>
    </xf>
    <xf numFmtId="9" fontId="4" fillId="4" borderId="1" applyAlignment="1" applyProtection="1" pivotButton="0" quotePrefix="0" xfId="0">
      <alignment horizontal="center" vertical="center"/>
      <protection locked="0" hidden="0"/>
    </xf>
    <xf numFmtId="0" fontId="7" fillId="7" borderId="1" applyAlignment="1" applyProtection="1" pivotButton="0" quotePrefix="0" xfId="0">
      <alignment horizontal="left" vertical="top" wrapText="1"/>
      <protection locked="0" hidden="0"/>
    </xf>
    <xf numFmtId="0" fontId="7" fillId="7" borderId="1" applyAlignment="1" applyProtection="1" pivotButton="0" quotePrefix="0" xfId="0">
      <alignment vertical="top" wrapText="1"/>
      <protection locked="0" hidden="0"/>
    </xf>
    <xf numFmtId="0" fontId="7" fillId="7" borderId="1" applyAlignment="1" applyProtection="1" pivotButton="0" quotePrefix="0" xfId="0">
      <alignment horizontal="center" vertical="center"/>
      <protection locked="0" hidden="0"/>
    </xf>
    <xf numFmtId="9" fontId="7" fillId="7" borderId="1" applyAlignment="1" applyProtection="1" pivotButton="0" quotePrefix="0" xfId="0">
      <alignment horizontal="center" vertical="center"/>
      <protection locked="0" hidden="0"/>
    </xf>
    <xf numFmtId="0" fontId="8" fillId="0" borderId="0" applyAlignment="1" pivotButton="0" quotePrefix="0" xfId="0">
      <alignment horizontal="center" vertical="center" wrapText="1"/>
    </xf>
    <xf numFmtId="0" fontId="0" fillId="14" borderId="0" pivotButton="0" quotePrefix="0" xfId="0"/>
    <xf numFmtId="0" fontId="5" fillId="0" borderId="5" applyAlignment="1" pivotButton="0" quotePrefix="0" xfId="0">
      <alignment horizontal="left" vertical="center" wrapText="1"/>
    </xf>
    <xf numFmtId="0" fontId="4" fillId="4" borderId="5" applyAlignment="1" applyProtection="1" pivotButton="0" quotePrefix="0" xfId="0">
      <alignment horizontal="left" vertical="top" wrapText="1"/>
      <protection locked="0" hidden="0"/>
    </xf>
    <xf numFmtId="0" fontId="5" fillId="0" borderId="5" applyAlignment="1" pivotButton="0" quotePrefix="0" xfId="0">
      <alignment horizontal="left" vertical="top" wrapText="1"/>
    </xf>
    <xf numFmtId="0" fontId="0" fillId="0" borderId="0" applyAlignment="1" pivotButton="0" quotePrefix="0" xfId="0">
      <alignment vertical="center" wrapText="1"/>
    </xf>
    <xf numFmtId="0" fontId="7" fillId="7" borderId="5" applyAlignment="1" applyProtection="1" pivotButton="0" quotePrefix="0" xfId="0">
      <alignment horizontal="left" vertical="top" wrapText="1"/>
      <protection locked="0" hidden="0"/>
    </xf>
    <xf numFmtId="0" fontId="7" fillId="0" borderId="0" applyAlignment="1" pivotButton="0" quotePrefix="0" xfId="0">
      <alignment horizontal="left" vertical="center" wrapText="1"/>
    </xf>
    <xf numFmtId="0" fontId="7" fillId="0" borderId="0" applyAlignment="1" pivotButton="0" quotePrefix="0" xfId="0">
      <alignment vertical="center" wrapText="1"/>
    </xf>
    <xf numFmtId="0" fontId="4" fillId="4" borderId="5" applyAlignment="1" applyProtection="1" pivotButton="0" quotePrefix="0" xfId="0">
      <alignment horizontal="left" vertical="center" wrapText="1"/>
      <protection locked="0" hidden="0"/>
    </xf>
    <xf numFmtId="0" fontId="10" fillId="14" borderId="5" applyAlignment="1" pivotButton="0" quotePrefix="0" xfId="0">
      <alignment horizontal="center" vertical="center"/>
    </xf>
    <xf numFmtId="0" fontId="10" fillId="0" borderId="0" applyAlignment="1" pivotButton="0" quotePrefix="0" xfId="0">
      <alignment horizontal="center" vertical="center"/>
    </xf>
    <xf numFmtId="0" fontId="7" fillId="7" borderId="5" applyAlignment="1" applyProtection="1" pivotButton="0" quotePrefix="0" xfId="0">
      <alignment horizontal="left" vertical="center" wrapText="1"/>
      <protection locked="0" hidden="0"/>
    </xf>
    <xf numFmtId="0" fontId="3" fillId="14" borderId="0" applyAlignment="1" pivotButton="0" quotePrefix="0" xfId="0">
      <alignment horizontal="left" vertical="center" indent="1"/>
    </xf>
    <xf numFmtId="0" fontId="4" fillId="4" borderId="16" applyAlignment="1" applyProtection="1" pivotButton="0" quotePrefix="0" xfId="0">
      <alignment horizontal="left" vertical="top" wrapText="1"/>
      <protection locked="0" hidden="0"/>
    </xf>
    <xf numFmtId="0" fontId="20" fillId="13" borderId="1" applyAlignment="1" pivotButton="0" quotePrefix="0" xfId="0">
      <alignment vertical="center" wrapText="1"/>
    </xf>
    <xf numFmtId="3" fontId="20" fillId="13" borderId="1" applyAlignment="1" pivotButton="0" quotePrefix="0" xfId="0">
      <alignment horizontal="center" vertical="center"/>
    </xf>
    <xf numFmtId="3" fontId="4" fillId="4" borderId="5" applyAlignment="1" applyProtection="1" pivotButton="0" quotePrefix="0" xfId="0">
      <alignment horizontal="left" vertical="top" wrapText="1"/>
      <protection locked="0" hidden="0"/>
    </xf>
    <xf numFmtId="3" fontId="4" fillId="4" borderId="9" applyAlignment="1" applyProtection="1" pivotButton="0" quotePrefix="0" xfId="0">
      <alignment horizontal="left" vertical="top" wrapText="1"/>
      <protection locked="0" hidden="0"/>
    </xf>
    <xf numFmtId="4" fontId="4" fillId="4" borderId="1" applyAlignment="1" applyProtection="1" pivotButton="0" quotePrefix="0" xfId="0">
      <alignment horizontal="center" vertical="center"/>
      <protection locked="0" hidden="0"/>
    </xf>
    <xf numFmtId="0" fontId="0" fillId="0" borderId="0" applyAlignment="1" pivotButton="0" quotePrefix="0" xfId="0">
      <alignment vertical="center"/>
    </xf>
    <xf numFmtId="3" fontId="7" fillId="7" borderId="5" applyAlignment="1" applyProtection="1" pivotButton="0" quotePrefix="0" xfId="0">
      <alignment horizontal="left" vertical="top" wrapText="1"/>
      <protection locked="0" hidden="0"/>
    </xf>
    <xf numFmtId="4" fontId="7" fillId="7" borderId="1" applyAlignment="1" applyProtection="1" pivotButton="0" quotePrefix="0" xfId="0">
      <alignment horizontal="center" vertical="center"/>
      <protection locked="0" hidden="0"/>
    </xf>
    <xf numFmtId="0" fontId="19" fillId="8" borderId="1" applyAlignment="1" pivotButton="0" quotePrefix="0" xfId="0">
      <alignment horizontal="center" vertical="center"/>
    </xf>
    <xf numFmtId="0" fontId="12" fillId="0" borderId="1" applyAlignment="1" pivotButton="0" quotePrefix="0" xfId="0">
      <alignment horizontal="left" vertical="center"/>
    </xf>
    <xf numFmtId="0" fontId="18" fillId="12" borderId="1" applyAlignment="1" pivotButton="0" quotePrefix="0" xfId="0">
      <alignment horizontal="center" vertical="center"/>
    </xf>
    <xf numFmtId="0" fontId="19" fillId="8" borderId="1" applyAlignment="1" pivotButton="0" quotePrefix="0" xfId="0">
      <alignment horizontal="left" vertical="center"/>
    </xf>
    <xf numFmtId="0" fontId="7" fillId="4" borderId="1" applyAlignment="1" pivotButton="0" quotePrefix="0" xfId="0">
      <alignment horizontal="left" vertical="top" wrapText="1"/>
    </xf>
    <xf numFmtId="0" fontId="7" fillId="4" borderId="5" applyAlignment="1" pivotButton="0" quotePrefix="0" xfId="0">
      <alignment horizontal="left" vertical="top" wrapText="1"/>
    </xf>
    <xf numFmtId="0" fontId="7" fillId="4" borderId="6" applyAlignment="1" pivotButton="0" quotePrefix="0" xfId="0">
      <alignment horizontal="left" vertical="top" wrapText="1"/>
    </xf>
    <xf numFmtId="0" fontId="3" fillId="3" borderId="0" applyAlignment="1" pivotButton="0" quotePrefix="0" xfId="0">
      <alignment horizontal="left" vertical="center" indent="1"/>
    </xf>
    <xf numFmtId="0" fontId="2" fillId="2" borderId="0" applyAlignment="1" pivotButton="0" quotePrefix="0" xfId="0">
      <alignment horizontal="left" vertical="center" indent="1"/>
    </xf>
    <xf numFmtId="0" fontId="6" fillId="0" borderId="0" applyAlignment="1" pivotButton="0" quotePrefix="0" xfId="0">
      <alignment vertical="top" wrapText="1"/>
    </xf>
    <xf numFmtId="0" fontId="0" fillId="11" borderId="5" applyAlignment="1" applyProtection="1" pivotButton="0" quotePrefix="0" xfId="0">
      <alignment vertical="center"/>
      <protection locked="0" hidden="0"/>
    </xf>
    <xf numFmtId="0" fontId="0" fillId="11" borderId="7" applyAlignment="1" applyProtection="1" pivotButton="0" quotePrefix="0" xfId="0">
      <alignment vertical="center"/>
      <protection locked="0" hidden="0"/>
    </xf>
    <xf numFmtId="0" fontId="0" fillId="11" borderId="6" applyAlignment="1" applyProtection="1" pivotButton="0" quotePrefix="0" xfId="0">
      <alignment vertical="center"/>
      <protection locked="0" hidden="0"/>
    </xf>
    <xf numFmtId="0" fontId="10" fillId="13" borderId="5" applyAlignment="1" pivotButton="0" quotePrefix="0" xfId="0">
      <alignment horizontal="left" vertical="center" wrapText="1"/>
    </xf>
    <xf numFmtId="0" fontId="10" fillId="13" borderId="7" applyAlignment="1" pivotButton="0" quotePrefix="0" xfId="0">
      <alignment horizontal="left" vertical="center" wrapText="1"/>
    </xf>
    <xf numFmtId="0" fontId="10" fillId="13" borderId="6" applyAlignment="1" pivotButton="0" quotePrefix="0" xfId="0">
      <alignment horizontal="left" vertical="center" wrapText="1"/>
    </xf>
    <xf numFmtId="4" fontId="10" fillId="13" borderId="5" applyAlignment="1" pivotButton="0" quotePrefix="0" xfId="0">
      <alignment horizontal="center" vertical="center" wrapText="1"/>
    </xf>
    <xf numFmtId="0" fontId="10" fillId="13" borderId="7" applyAlignment="1" pivotButton="0" quotePrefix="0" xfId="0">
      <alignment horizontal="center" vertical="center" wrapText="1"/>
    </xf>
    <xf numFmtId="0" fontId="10" fillId="13" borderId="6" applyAlignment="1" pivotButton="0" quotePrefix="0" xfId="0">
      <alignment horizontal="center" vertical="center" wrapText="1"/>
    </xf>
    <xf numFmtId="3" fontId="10" fillId="13" borderId="5" applyAlignment="1" pivotButton="0" quotePrefix="0" xfId="0">
      <alignment horizontal="center" vertical="center" wrapText="1"/>
    </xf>
    <xf numFmtId="0" fontId="0" fillId="11" borderId="9" applyAlignment="1" applyProtection="1" pivotButton="0" quotePrefix="0" xfId="0">
      <alignment vertical="top" wrapText="1"/>
      <protection locked="0" hidden="0"/>
    </xf>
    <xf numFmtId="0" fontId="0" fillId="11" borderId="10" applyAlignment="1" applyProtection="1" pivotButton="0" quotePrefix="0" xfId="0">
      <alignment vertical="top" wrapText="1"/>
      <protection locked="0" hidden="0"/>
    </xf>
    <xf numFmtId="0" fontId="0" fillId="11" borderId="11" applyAlignment="1" applyProtection="1" pivotButton="0" quotePrefix="0" xfId="0">
      <alignment vertical="top" wrapText="1"/>
      <protection locked="0" hidden="0"/>
    </xf>
    <xf numFmtId="0" fontId="0" fillId="11" borderId="12" applyAlignment="1" applyProtection="1" pivotButton="0" quotePrefix="0" xfId="0">
      <alignment vertical="top" wrapText="1"/>
      <protection locked="0" hidden="0"/>
    </xf>
    <xf numFmtId="0" fontId="0" fillId="11" borderId="0" applyAlignment="1" applyProtection="1" pivotButton="0" quotePrefix="0" xfId="0">
      <alignment vertical="top" wrapText="1"/>
      <protection locked="0" hidden="0"/>
    </xf>
    <xf numFmtId="0" fontId="0" fillId="11" borderId="13" applyAlignment="1" applyProtection="1" pivotButton="0" quotePrefix="0" xfId="0">
      <alignment vertical="top" wrapText="1"/>
      <protection locked="0" hidden="0"/>
    </xf>
    <xf numFmtId="0" fontId="0" fillId="11" borderId="14" applyAlignment="1" applyProtection="1" pivotButton="0" quotePrefix="0" xfId="0">
      <alignment vertical="top" wrapText="1"/>
      <protection locked="0" hidden="0"/>
    </xf>
    <xf numFmtId="0" fontId="0" fillId="11" borderId="8" applyAlignment="1" applyProtection="1" pivotButton="0" quotePrefix="0" xfId="0">
      <alignment vertical="top" wrapText="1"/>
      <protection locked="0" hidden="0"/>
    </xf>
    <xf numFmtId="0" fontId="0" fillId="11" borderId="15" applyAlignment="1" applyProtection="1" pivotButton="0" quotePrefix="0" xfId="0">
      <alignment vertical="top" wrapText="1"/>
      <protection locked="0" hidden="0"/>
    </xf>
    <xf numFmtId="0" fontId="8" fillId="2" borderId="5" applyAlignment="1" pivotButton="0" quotePrefix="0" xfId="0">
      <alignment horizontal="center" vertical="center" wrapText="1"/>
    </xf>
    <xf numFmtId="0" fontId="8" fillId="2" borderId="7" applyAlignment="1" pivotButton="0" quotePrefix="0" xfId="0">
      <alignment horizontal="center" vertical="center" wrapText="1"/>
    </xf>
    <xf numFmtId="0" fontId="0" fillId="11" borderId="5" applyAlignment="1" applyProtection="1" pivotButton="0" quotePrefix="0" xfId="0">
      <alignment horizontal="left" vertical="center" wrapText="1"/>
      <protection locked="0" hidden="0"/>
    </xf>
    <xf numFmtId="0" fontId="0" fillId="11" borderId="7" applyAlignment="1" applyProtection="1" pivotButton="0" quotePrefix="0" xfId="0">
      <alignment horizontal="left" vertical="center" wrapText="1"/>
      <protection locked="0" hidden="0"/>
    </xf>
    <xf numFmtId="0" fontId="0" fillId="11" borderId="9" applyAlignment="1" applyProtection="1" pivotButton="0" quotePrefix="0" xfId="0">
      <alignment vertical="center" wrapText="1"/>
      <protection locked="0" hidden="0"/>
    </xf>
    <xf numFmtId="0" fontId="0" fillId="11" borderId="10" applyAlignment="1" applyProtection="1" pivotButton="0" quotePrefix="0" xfId="0">
      <alignment vertical="center" wrapText="1"/>
      <protection locked="0" hidden="0"/>
    </xf>
    <xf numFmtId="0" fontId="0" fillId="11" borderId="11" applyAlignment="1" applyProtection="1" pivotButton="0" quotePrefix="0" xfId="0">
      <alignment vertical="center" wrapText="1"/>
      <protection locked="0" hidden="0"/>
    </xf>
    <xf numFmtId="0" fontId="0" fillId="11" borderId="5" applyAlignment="1" applyProtection="1" pivotButton="0" quotePrefix="0" xfId="0">
      <alignment vertical="center" wrapText="1"/>
      <protection locked="0" hidden="0"/>
    </xf>
    <xf numFmtId="0" fontId="0" fillId="11" borderId="7" applyAlignment="1" applyProtection="1" pivotButton="0" quotePrefix="0" xfId="0">
      <alignment vertical="center" wrapText="1"/>
      <protection locked="0" hidden="0"/>
    </xf>
    <xf numFmtId="0" fontId="0" fillId="11" borderId="6" applyAlignment="1" applyProtection="1" pivotButton="0" quotePrefix="0" xfId="0">
      <alignment vertical="center" wrapText="1"/>
      <protection locked="0" hidden="0"/>
    </xf>
    <xf numFmtId="0" fontId="6" fillId="0" borderId="8" applyAlignment="1" pivotButton="0" quotePrefix="0" xfId="0">
      <alignment vertical="top" wrapText="1"/>
    </xf>
    <xf numFmtId="0" fontId="10" fillId="6" borderId="5"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6" applyAlignment="1" pivotButton="0" quotePrefix="0" xfId="0">
      <alignment horizontal="center" vertical="center" wrapText="1"/>
    </xf>
    <xf numFmtId="0" fontId="10" fillId="6" borderId="1" applyAlignment="1" pivotButton="0" quotePrefix="0" xfId="0">
      <alignment horizontal="left" vertical="top" wrapText="1"/>
    </xf>
    <xf numFmtId="0" fontId="21" fillId="11" borderId="5" applyAlignment="1" applyProtection="1" pivotButton="0" quotePrefix="0" xfId="0">
      <alignment vertical="center"/>
      <protection locked="0" hidden="0"/>
    </xf>
    <xf numFmtId="0" fontId="21" fillId="11" borderId="7" applyAlignment="1" applyProtection="1" pivotButton="0" quotePrefix="0" xfId="0">
      <alignment vertical="center"/>
      <protection locked="0" hidden="0"/>
    </xf>
    <xf numFmtId="0" fontId="21" fillId="11" borderId="6" applyAlignment="1" applyProtection="1" pivotButton="0" quotePrefix="0" xfId="0">
      <alignment vertical="center"/>
      <protection locked="0" hidden="0"/>
    </xf>
    <xf numFmtId="0" fontId="7" fillId="7" borderId="5" applyAlignment="1" applyProtection="1" pivotButton="0" quotePrefix="0" xfId="0">
      <alignment horizontal="left" vertical="center" wrapText="1"/>
      <protection locked="0" hidden="0"/>
    </xf>
    <xf numFmtId="0" fontId="7" fillId="7" borderId="7" applyAlignment="1" applyProtection="1" pivotButton="0" quotePrefix="0" xfId="0">
      <alignment horizontal="left" vertical="center" wrapText="1"/>
      <protection locked="0" hidden="0"/>
    </xf>
    <xf numFmtId="0" fontId="7" fillId="11" borderId="9" applyAlignment="1" applyProtection="1" pivotButton="0" quotePrefix="0" xfId="0">
      <alignment horizontal="left" vertical="center" wrapText="1"/>
      <protection locked="0" hidden="0"/>
    </xf>
    <xf numFmtId="0" fontId="7" fillId="11" borderId="10" applyAlignment="1" applyProtection="1" pivotButton="0" quotePrefix="0" xfId="0">
      <alignment horizontal="left" vertical="center" wrapText="1"/>
      <protection locked="0" hidden="0"/>
    </xf>
    <xf numFmtId="0" fontId="7" fillId="11" borderId="11" applyAlignment="1" applyProtection="1" pivotButton="0" quotePrefix="0" xfId="0">
      <alignment horizontal="left" vertical="center" wrapText="1"/>
      <protection locked="0" hidden="0"/>
    </xf>
    <xf numFmtId="0" fontId="7" fillId="11" borderId="5" applyAlignment="1" applyProtection="1" pivotButton="0" quotePrefix="0" xfId="0">
      <alignment horizontal="left" vertical="center" wrapText="1"/>
      <protection locked="0" hidden="0"/>
    </xf>
    <xf numFmtId="0" fontId="7" fillId="11" borderId="7" applyAlignment="1" applyProtection="1" pivotButton="0" quotePrefix="0" xfId="0">
      <alignment horizontal="left" vertical="center" wrapText="1"/>
      <protection locked="0" hidden="0"/>
    </xf>
    <xf numFmtId="0" fontId="7" fillId="11" borderId="6" applyAlignment="1" applyProtection="1" pivotButton="0" quotePrefix="0" xfId="0">
      <alignment horizontal="left" vertical="center" wrapText="1"/>
      <protection locked="0" hidden="0"/>
    </xf>
    <xf numFmtId="0" fontId="0" fillId="0" borderId="0" pivotButton="0" quotePrefix="0" xfId="0"/>
    <xf numFmtId="0" fontId="2" fillId="8" borderId="0" applyAlignment="1" pivotButton="0" quotePrefix="0" xfId="0">
      <alignment horizontal="left" vertical="center" indent="1"/>
    </xf>
    <xf numFmtId="0" fontId="4" fillId="4" borderId="1" applyAlignment="1" pivotButton="0" quotePrefix="0" xfId="0">
      <alignment horizontal="left" vertical="top" wrapText="1"/>
    </xf>
    <xf numFmtId="0" fontId="0" fillId="0" borderId="6" pivotButton="0" quotePrefix="0" xfId="0"/>
    <xf numFmtId="0" fontId="1" fillId="4" borderId="1" applyAlignment="1" pivotButton="0" quotePrefix="0" xfId="0">
      <alignment horizontal="center" vertical="center"/>
    </xf>
    <xf numFmtId="0" fontId="1" fillId="4" borderId="1" applyAlignment="1" pivotButton="0" quotePrefix="0" xfId="0">
      <alignment horizontal="left" vertical="center"/>
    </xf>
    <xf numFmtId="165" fontId="18" fillId="5" borderId="1" applyAlignment="1" pivotButton="0" quotePrefix="0" xfId="0">
      <alignment horizontal="center" vertical="center"/>
    </xf>
    <xf numFmtId="164" fontId="18" fillId="5" borderId="1" applyAlignment="1" pivotButton="0" quotePrefix="0" xfId="0">
      <alignment horizontal="center" vertical="center"/>
    </xf>
    <xf numFmtId="0" fontId="18" fillId="5" borderId="1" applyAlignment="1" pivotButton="0" quotePrefix="0" xfId="0">
      <alignment horizontal="center" vertical="center"/>
    </xf>
    <xf numFmtId="0" fontId="11" fillId="4" borderId="1" applyAlignment="1" pivotButton="0" quotePrefix="0" xfId="0">
      <alignment horizontal="center" vertical="center"/>
    </xf>
    <xf numFmtId="0" fontId="11" fillId="4" borderId="1" applyAlignment="1" pivotButton="0" quotePrefix="0" xfId="0">
      <alignment horizontal="left" vertical="center"/>
    </xf>
    <xf numFmtId="0" fontId="0" fillId="11" borderId="16" applyAlignment="1" applyProtection="1" pivotButton="0" quotePrefix="0" xfId="0">
      <alignment vertical="center" wrapText="1"/>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11" borderId="1" applyAlignment="1" applyProtection="1" pivotButton="0" quotePrefix="0" xfId="0">
      <alignment vertical="center" wrapText="1"/>
      <protection locked="0" hidden="0"/>
    </xf>
    <xf numFmtId="0" fontId="0" fillId="0" borderId="7" applyProtection="1" pivotButton="0" quotePrefix="0" xfId="0">
      <protection locked="0" hidden="0"/>
    </xf>
    <xf numFmtId="0" fontId="0" fillId="0" borderId="6" applyProtection="1" pivotButton="0" quotePrefix="0" xfId="0">
      <protection locked="0" hidden="0"/>
    </xf>
    <xf numFmtId="0" fontId="0" fillId="11" borderId="1" applyAlignment="1" applyProtection="1" pivotButton="0" quotePrefix="0" xfId="0">
      <alignment vertical="center"/>
      <protection locked="0" hidden="0"/>
    </xf>
    <xf numFmtId="0" fontId="0" fillId="0" borderId="7" pivotButton="0" quotePrefix="0" xfId="0"/>
    <xf numFmtId="166" fontId="9" fillId="5" borderId="1" applyAlignment="1" pivotButton="0" quotePrefix="0" xfId="0">
      <alignment horizontal="center" vertical="center"/>
    </xf>
    <xf numFmtId="166" fontId="10" fillId="6" borderId="1" applyAlignment="1" pivotButton="0" quotePrefix="0" xfId="0">
      <alignment horizontal="center" vertical="center"/>
    </xf>
    <xf numFmtId="164" fontId="10" fillId="6" borderId="1" applyAlignment="1" pivotButton="0" quotePrefix="0" xfId="0">
      <alignment horizontal="center" vertical="center"/>
    </xf>
    <xf numFmtId="0" fontId="10" fillId="6" borderId="1" applyAlignment="1" pivotButton="0" quotePrefix="0" xfId="0">
      <alignment horizontal="center" vertical="center" wrapText="1"/>
    </xf>
    <xf numFmtId="0" fontId="10" fillId="13" borderId="1" applyAlignment="1" pivotButton="0" quotePrefix="0" xfId="0">
      <alignment horizontal="left" vertical="center" wrapText="1"/>
    </xf>
    <xf numFmtId="4" fontId="10" fillId="13" borderId="1" applyAlignment="1" pivotButton="0" quotePrefix="0" xfId="0">
      <alignment horizontal="center" vertical="center" wrapText="1"/>
    </xf>
    <xf numFmtId="3" fontId="10" fillId="13" borderId="1" applyAlignment="1" pivotButton="0" quotePrefix="0" xfId="0">
      <alignment horizontal="center" vertical="center" wrapText="1"/>
    </xf>
    <xf numFmtId="0" fontId="0" fillId="0" borderId="8" pivotButton="0" quotePrefix="0" xfId="0"/>
    <xf numFmtId="0" fontId="0" fillId="11" borderId="1" applyAlignment="1" applyProtection="1" pivotButton="0" quotePrefix="0" xfId="0">
      <alignment vertical="top" wrapText="1"/>
      <protection locked="0" hidden="0"/>
    </xf>
    <xf numFmtId="0" fontId="0" fillId="0" borderId="12" applyProtection="1" pivotButton="0" quotePrefix="0" xfId="0">
      <protection locked="0" hidden="0"/>
    </xf>
    <xf numFmtId="0" fontId="0" fillId="0" borderId="0" applyProtection="1" pivotButton="0" quotePrefix="0" xfId="0">
      <protection locked="0" hidden="0"/>
    </xf>
    <xf numFmtId="0" fontId="0" fillId="0" borderId="13" applyProtection="1" pivotButton="0" quotePrefix="0" xfId="0">
      <protection locked="0" hidden="0"/>
    </xf>
    <xf numFmtId="0" fontId="0" fillId="0" borderId="14" applyProtection="1" pivotButton="0" quotePrefix="0" xfId="0">
      <protection locked="0" hidden="0"/>
    </xf>
    <xf numFmtId="0" fontId="0" fillId="0" borderId="8" applyProtection="1" pivotButton="0" quotePrefix="0" xfId="0">
      <protection locked="0" hidden="0"/>
    </xf>
    <xf numFmtId="0" fontId="0" fillId="0" borderId="15" applyProtection="1" pivotButton="0" quotePrefix="0" xfId="0">
      <protection locked="0" hidden="0"/>
    </xf>
    <xf numFmtId="0" fontId="7" fillId="11" borderId="16" applyAlignment="1" applyProtection="1" pivotButton="0" quotePrefix="0" xfId="0">
      <alignment horizontal="left" vertical="center" wrapText="1"/>
      <protection locked="0" hidden="0"/>
    </xf>
    <xf numFmtId="0" fontId="7" fillId="11" borderId="1" applyAlignment="1" applyProtection="1" pivotButton="0" quotePrefix="0" xfId="0">
      <alignment horizontal="left" vertical="center" wrapText="1"/>
      <protection locked="0" hidden="0"/>
    </xf>
    <xf numFmtId="0" fontId="21" fillId="11" borderId="1" applyAlignment="1" applyProtection="1" pivotButton="0" quotePrefix="0" xfId="0">
      <alignment vertical="center"/>
      <protection locked="0" hidden="0"/>
    </xf>
  </cellXfs>
  <cellStyles count="1">
    <cellStyle name="Normal" xfId="0" builtinId="0"/>
  </cellStyles>
  <dxfs count="4">
    <dxf>
      <font>
        <color rgb="FF9C0006"/>
      </font>
      <fill>
        <patternFill patternType="solid">
          <fgColor indexed="64"/>
          <bgColor rgb="FFF8CBAD"/>
        </patternFill>
      </fill>
    </dxf>
    <dxf>
      <font>
        <color rgb="FF7F6000"/>
      </font>
      <fill>
        <patternFill patternType="solid">
          <fgColor indexed="64"/>
          <bgColor rgb="FFFFE699"/>
        </patternFill>
      </fill>
    </dxf>
    <dxf>
      <font>
        <color rgb="FF375623"/>
      </font>
      <fill>
        <patternFill patternType="solid">
          <fgColor indexed="64"/>
          <bgColor rgb="FFC6E0B4"/>
        </patternFill>
      </fill>
    </dxf>
    <dxf>
      <font>
        <color rgb="FF9C0006"/>
      </font>
      <fill>
        <patternFill patternType="solid">
          <fgColor indexed="64"/>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8"/>
  <sheetViews>
    <sheetView showGridLines="0" topLeftCell="A19" zoomScaleNormal="100" workbookViewId="0">
      <selection activeCell="A1" sqref="A1"/>
    </sheetView>
  </sheetViews>
  <sheetFormatPr baseColWidth="8" defaultColWidth="8.6640625" defaultRowHeight="14.4"/>
  <cols>
    <col width="3" customWidth="1" style="128" min="1" max="1"/>
    <col width="27.77734375" customWidth="1" style="128" min="2" max="2"/>
    <col width="118.5546875" customWidth="1" style="128" min="3" max="3"/>
    <col width="3" customWidth="1" style="128" min="4" max="6"/>
  </cols>
  <sheetData>
    <row r="2" ht="30" customHeight="1" s="128">
      <c r="B2" s="5" t="inlineStr">
        <is>
          <t>MIRALEDO — Analiza cerintelor de ambalare, pe unitate si componente</t>
        </is>
      </c>
      <c r="C2" s="6" t="n"/>
    </row>
    <row r="3" ht="18" customHeight="1" s="128">
      <c r="B3" s="7" t="inlineStr">
        <is>
          <t>Ghid de completare — pentru MIRALEDO si pentru client</t>
        </is>
      </c>
      <c r="C3" s="4" t="n"/>
    </row>
    <row r="4" ht="7.95" customHeight="1" s="128">
      <c r="B4" s="4" t="n"/>
      <c r="C4" s="4" t="n"/>
    </row>
    <row r="5" ht="19.95" customHeight="1" s="128">
      <c r="B5" s="8" t="inlineStr">
        <is>
          <t>1. La ce foloseste acest fisier</t>
        </is>
      </c>
      <c r="C5" s="9" t="n"/>
    </row>
    <row r="6" ht="45.45" customHeight="1" s="128">
      <c r="B6" s="10" t="inlineStr">
        <is>
          <t>Scop</t>
        </is>
      </c>
      <c r="C6" s="11" t="inlineStr">
        <is>
          <t>Sa intelegem ce ambalaje folositi, din ce componente sunt facute, ce cere produsul de la ambalaj, ce utilaje aveti si cat de expus este ambalajul la noul Regulament european privind ambalajele (PPWR, Reg. UE 2025/40). Pe baza acestor informatii MIRALEDO poate propune imbunatatiri.</t>
        </is>
      </c>
    </row>
    <row r="7" ht="7.95" customHeight="1" s="128">
      <c r="B7" s="4" t="n"/>
      <c r="C7" s="4" t="n"/>
    </row>
    <row r="8" ht="19.95" customHeight="1" s="128">
      <c r="B8" s="8" t="inlineStr">
        <is>
          <t>2. Ideea de baza: unitatea de ambalaj</t>
        </is>
      </c>
      <c r="C8" s="9" t="n"/>
    </row>
    <row r="9" ht="31.95" customHeight="1" s="128">
      <c r="B9" s="12" t="inlineStr">
        <is>
          <t>Ce este o unitate</t>
        </is>
      </c>
      <c r="C9" s="4" t="inlineStr">
        <is>
          <t>Analiza porneste de la UNITATEA DE AMBALAJ, nu de la produs. O unitate este configuratia fizica completa a ambalajului, de exemplu: flacon sticla + capac PP + eticheta.</t>
        </is>
      </c>
    </row>
    <row r="10" ht="45.45" customHeight="1" s="128">
      <c r="B10" s="15" t="inlineStr">
        <is>
          <t>Mai multe produse</t>
        </is>
      </c>
      <c r="C10" s="16" t="inlineStr">
        <is>
          <t>Aceeasi unitate poate fi folosita pentru mai multe produse (SKU-uri), de exemplu acelasi flacon pentru o crema si pentru un ser. In acest caz se face o singura fisa, iar produsele se trec in lista din sectiunea 2 a fisei.</t>
        </is>
      </c>
    </row>
    <row r="11" ht="45.45" customHeight="1" s="128">
      <c r="B11" s="13" t="inlineStr">
        <is>
          <t>Componente</t>
        </is>
      </c>
      <c r="C11" s="14" t="inlineStr">
        <is>
          <t>Fiecare unitate are mai multe componente (flacon, capac, eticheta etc.). Fiecare componenta se descrie separat: material, culoare, greutate, % reciclabil, % continut reciclat, furnizor, pret, tara de origine.</t>
        </is>
      </c>
    </row>
    <row r="12" ht="7.95" customHeight="1" s="128">
      <c r="B12" s="4" t="n"/>
      <c r="C12" s="4" t="n"/>
    </row>
    <row r="13" ht="19.95" customHeight="1" s="128">
      <c r="B13" s="8" t="inlineStr">
        <is>
          <t>3. Ce contine fisierul</t>
        </is>
      </c>
      <c r="C13" s="9" t="n"/>
    </row>
    <row r="14" ht="18.45" customHeight="1" s="128">
      <c r="B14" s="12" t="inlineStr">
        <is>
          <t>Info Companie</t>
        </is>
      </c>
      <c r="C14" s="4" t="inlineStr">
        <is>
          <t>Date generale despre companie si persoana de contact. Se completeaza o singura data.</t>
        </is>
      </c>
    </row>
    <row r="15" ht="31.95" customHeight="1" s="128">
      <c r="B15" s="15" t="inlineStr">
        <is>
          <t>Unitati Ambalaj</t>
        </is>
      </c>
      <c r="C15" s="16" t="inlineStr">
        <is>
          <t>Lista tuturor unitatilor de ambalaj (un rand = o unitate). Greutatea totala, % reciclabil si clasa se preiau automat din fisa fiecarei unitati.</t>
        </is>
      </c>
    </row>
    <row r="16" ht="18.45" customHeight="1" s="128">
      <c r="B16" s="15" t="inlineStr">
        <is>
          <t>Fisa Unitate (Template)</t>
        </is>
      </c>
      <c r="C16" s="16" t="inlineStr">
        <is>
          <t>Model gol al unei fise. Nu se completeaza direct: se copiaza pentru fiecare unitate noua.</t>
        </is>
      </c>
    </row>
    <row r="17" ht="31.95" customHeight="1" s="128">
      <c r="B17" s="15" t="inlineStr">
        <is>
          <t>Unitate 1, Unitate 2, ...</t>
        </is>
      </c>
      <c r="C17" s="16" t="inlineStr">
        <is>
          <t>Fisele unitatilor, cate una per unitate. 'Unitate 1' contine un exemplu fictiv (text gri, italic), ca model de completare.</t>
        </is>
      </c>
    </row>
    <row r="18" ht="31.95" customHeight="1" s="128">
      <c r="B18" s="13" t="inlineStr">
        <is>
          <t>Sectiunile unei fise</t>
        </is>
      </c>
      <c r="C18" s="14" t="inlineStr">
        <is>
          <t>1. Identificare unitate | 2. Produse/SKU-uri | 3. Componente (cu calcul automat) | 4. Cerintele produsului | 5. Procesul de ambalare si utilajele | 6. Analiza de risc PPWR | 7. Comercial si pasi urmatori.</t>
        </is>
      </c>
    </row>
    <row r="19" ht="7.95" customHeight="1" s="128">
      <c r="B19" s="4" t="n"/>
      <c r="C19" s="4" t="n"/>
    </row>
    <row r="20" ht="19.95" customHeight="1" s="128">
      <c r="B20" s="8" t="inlineStr">
        <is>
          <t>4. Cum se completeaza</t>
        </is>
      </c>
      <c r="C20" s="9" t="n"/>
    </row>
    <row r="21" ht="18.45" customHeight="1" s="128">
      <c r="B21" s="12" t="inlineStr">
        <is>
          <t>Pasul 1</t>
        </is>
      </c>
      <c r="C21" s="4" t="inlineStr">
        <is>
          <t>Info Companie: completati datele companiei si ale persoanei de contact.</t>
        </is>
      </c>
    </row>
    <row r="22" ht="45.45" customHeight="1" s="128">
      <c r="B22" s="15" t="inlineStr">
        <is>
          <t>Pasul 2</t>
        </is>
      </c>
      <c r="C22" s="16" t="inlineStr">
        <is>
          <t>In fisa unitatii, sectiunea 1: denumirea, capacitatea, dimensiunile si documentele disponibile (fisa tehnica, desen, poze). Sectiunea 2: produsele/SKU-urile care o folosesc, cu volumul anual (numar, buc/an) si frecventa comenzilor.</t>
        </is>
      </c>
    </row>
    <row r="23" ht="58.95" customHeight="1" s="128">
      <c r="B23" s="15" t="inlineStr">
        <is>
          <t>Pasul 3</t>
        </is>
      </c>
      <c r="C23" s="16" t="inlineStr">
        <is>
          <t>Sectiunea 3: un rand pentru fiecare componenta. Greutatea se scrie in grame, pretul in EUR / 1000 buc (numere), iar procentele ca procent (ex: 60%). '% continut reciclat' se completeaza doar pentru componentele din plastic. La greutate, % reciclabil si pret lasati celula goala daca nu stiti valoarea; in celelalte coloane puteti scrie 'de confirmat'.</t>
        </is>
      </c>
    </row>
    <row r="24" ht="45.45" customHeight="1" s="128">
      <c r="B24" s="15" t="inlineStr">
        <is>
          <t>Pasul 4</t>
        </is>
      </c>
      <c r="C24" s="16" t="inlineStr">
        <is>
          <t>Sectiunile 4 si 5: categoria produsului (alimentar / farma / cosmetic / supliment), functiile cerute ambalajului, cerintele produsului (oxigen, lumina, umiditate, temperaturi, shelf-life) si utilajele de pe linie (viteza, umplere, inchidere, cod gat, etichetare).</t>
        </is>
      </c>
    </row>
    <row r="25" ht="31.95" customHeight="1" s="128">
      <c r="B25" s="15" t="inlineStr">
        <is>
          <t>Pasul 5</t>
        </is>
      </c>
      <c r="C25" s="16" t="inlineStr">
        <is>
          <t>Sectiunea 6 (risc PPWR) se completeaza impreuna cu MIRALEDO. Sectiunea 7 (comercial) este interna MIRALEDO si nu trebuie completata de client.</t>
        </is>
      </c>
    </row>
    <row r="26" ht="18.45" customHeight="1" s="128">
      <c r="B26" s="15" t="inlineStr">
        <is>
          <t>Pasul 6</t>
        </is>
      </c>
      <c r="C26" s="16" t="inlineStr">
        <is>
          <t>Verificati rezultatul din celulele verzi de sub tabelul de componente si trimiteti-ne fisierul.</t>
        </is>
      </c>
    </row>
    <row r="27" ht="31.95" customHeight="1" s="128">
      <c r="B27" s="17" t="inlineStr">
        <is>
          <t>Atentie</t>
        </is>
      </c>
      <c r="C27" s="18" t="inlineStr">
        <is>
          <t>O componenta cu greutate, dar fara % reciclabil, intra in calcul ca 0% reciclabil, deci rezultatul va fi mai mic decat in realitate.</t>
        </is>
      </c>
    </row>
    <row r="28" ht="7.95" customHeight="1" s="128">
      <c r="B28" s="4" t="n"/>
      <c r="C28" s="4" t="n"/>
    </row>
    <row r="29" ht="19.95" customHeight="1" s="128">
      <c r="B29" s="8" t="inlineStr">
        <is>
          <t>5. Cum se calculeaza reciclabilitatea</t>
        </is>
      </c>
      <c r="C29" s="9" t="n"/>
    </row>
    <row r="30" ht="18.45" customHeight="1" s="128">
      <c r="B30" s="12" t="inlineStr">
        <is>
          <t>Masa reciclabila</t>
        </is>
      </c>
      <c r="C30" s="4" t="inlineStr">
        <is>
          <t>Pentru fiecare componenta: greutate (g) x % reciclabil.</t>
        </is>
      </c>
    </row>
    <row r="31" ht="18.45" customHeight="1" s="128">
      <c r="B31" s="15" t="inlineStr">
        <is>
          <t>Total unitate</t>
        </is>
      </c>
      <c r="C31" s="16" t="inlineStr">
        <is>
          <t>Se aduna greutatile si masele reciclabile ale tuturor componentelor.</t>
        </is>
      </c>
    </row>
    <row r="32" ht="18.45" customHeight="1" s="128">
      <c r="B32" s="15" t="inlineStr">
        <is>
          <t>% reciclabil ponderat</t>
        </is>
      </c>
      <c r="C32" s="16" t="inlineStr">
        <is>
          <t>Masa reciclabila totala / greutatea totala. Calculul se face pe greutate, la nivel de unitate de ambalaj.</t>
        </is>
      </c>
    </row>
    <row r="33" ht="31.95" customHeight="1" s="128">
      <c r="B33" s="15" t="inlineStr">
        <is>
          <t>Clasa de reciclabilitate</t>
        </is>
      </c>
      <c r="C33" s="16" t="inlineStr">
        <is>
          <t>A = cel putin 95%  |  B = cel putin 80%  |  C = cel putin 70%  |  sub 70% = nereciclabil (nu exista clasa D).</t>
        </is>
      </c>
    </row>
    <row r="34" ht="31.95" customHeight="1" s="128">
      <c r="B34" s="15" t="inlineStr">
        <is>
          <t>Exemplu ilustrativ</t>
        </is>
      </c>
      <c r="C34" s="16" t="inlineStr">
        <is>
          <t>Flacon 85 g cu 100% reciclabil + capac 12 g cu 60% + eticheta 1,5 g cu 0% = 92,2 g reciclabil din 98,5 g = 93,6% -&gt; clasa B.</t>
        </is>
      </c>
    </row>
    <row r="35" ht="31.95" customHeight="1" s="128">
      <c r="B35" s="15" t="inlineStr">
        <is>
          <t>Culoarea componentei</t>
        </is>
      </c>
      <c r="C35" s="16" t="inlineStr">
        <is>
          <t>Culorile pe baza de negru de fum nu sunt detectate de sortarea optica (NIR) si pot face componenta nereciclabila in practica. Daca este cazul, notati in coloana 'Observatii / risc' si ajustati % reciclabil.</t>
        </is>
      </c>
    </row>
    <row r="36" ht="45.45" customHeight="1" s="128">
      <c r="B36" s="17" t="inlineStr">
        <is>
          <t>Important</t>
        </is>
      </c>
      <c r="C36" s="18" t="inlineStr">
        <is>
          <t>Clasa este o evaluare comerciala interna MIRALEDO, bazata pe datele completate. Nu este o certificare oficiala: PPWR nu prevede asa ceva. Conformitatea se demonstreaza prin documentatie tehnica si declaratie de conformitate.</t>
        </is>
      </c>
    </row>
    <row r="37" ht="7.95" customHeight="1" s="128">
      <c r="B37" s="4" t="n"/>
      <c r="C37" s="4" t="n"/>
    </row>
    <row r="38" ht="19.95" customHeight="1" s="128">
      <c r="B38" s="8" t="inlineStr">
        <is>
          <t>6. Legenda culori</t>
        </is>
      </c>
      <c r="C38" s="9" t="n"/>
    </row>
    <row r="39" ht="18.45" customHeight="1" s="128">
      <c r="B39" s="19" t="inlineStr">
        <is>
          <t>Galben</t>
        </is>
      </c>
      <c r="C39" s="4" t="inlineStr">
        <is>
          <t>Celula de completat manual.</t>
        </is>
      </c>
    </row>
    <row r="40" ht="18.45" customHeight="1" s="128">
      <c r="B40" s="20" t="inlineStr">
        <is>
          <t>Verde deschis</t>
        </is>
      </c>
      <c r="C40" s="16" t="inlineStr">
        <is>
          <t>Celula calculata automat (formula) - nu se completeaza.</t>
        </is>
      </c>
    </row>
    <row r="41" ht="18.45" customHeight="1" s="128">
      <c r="B41" s="21" t="inlineStr">
        <is>
          <t>Verde intens</t>
        </is>
      </c>
      <c r="C41" s="16" t="inlineStr">
        <is>
          <t>Rezultatul final al calculului de reciclabilitate al unitatii.</t>
        </is>
      </c>
    </row>
    <row r="42" ht="18.45" customHeight="1" s="128">
      <c r="B42" s="22" t="inlineStr">
        <is>
          <t>Text gri, italic</t>
        </is>
      </c>
      <c r="C42" s="23" t="inlineStr">
        <is>
          <t>Exemplu fictiv - se inlocuieste cu date reale.</t>
        </is>
      </c>
    </row>
    <row r="43" ht="7.95" customHeight="1" s="128">
      <c r="B43" s="4" t="n"/>
      <c r="C43" s="4" t="n"/>
    </row>
    <row r="44" ht="19.95" customHeight="1" s="128">
      <c r="B44" s="8" t="inlineStr">
        <is>
          <t>7. Cum adaugati o unitate noua</t>
        </is>
      </c>
      <c r="C44" s="9" t="n"/>
    </row>
    <row r="45" ht="31.95" customHeight="1" s="128">
      <c r="B45" s="12" t="inlineStr">
        <is>
          <t>Pasul 1</t>
        </is>
      </c>
      <c r="C45" s="4" t="inlineStr">
        <is>
          <t>Click dreapta pe eticheta sheet-ului 'Fisa Unitate (Template)' -&gt; Move or Copy -&gt; bifati 'Create a copy' -&gt; OK. Redenumiti copia (ex: 'Unitate 3').</t>
        </is>
      </c>
    </row>
    <row r="46" ht="18.45" customHeight="1" s="128">
      <c r="B46" s="15" t="inlineStr">
        <is>
          <t>Pasul 2</t>
        </is>
      </c>
      <c r="C46" s="16" t="inlineStr">
        <is>
          <t>Completati fisa copiata, sectiunile 1-7.</t>
        </is>
      </c>
    </row>
    <row r="47" ht="45.45" customHeight="1" s="128">
      <c r="B47" s="15" t="inlineStr">
        <is>
          <t>Pasul 3</t>
        </is>
      </c>
      <c r="C47" s="16" t="inlineStr">
        <is>
          <t>In 'Unitati Ambalaj', pe primul rand liber, scrieti denumirea, produsele/SKU-urile si, in coloana 'Sheet analiza', numele EXACT al sheet-ului (ex: Unitate 3). Greutatea, % reciclabil si clasa apar automat.</t>
        </is>
      </c>
    </row>
    <row r="48" ht="58.95" customHeight="1" s="128">
      <c r="B48" s="17" t="inlineStr">
        <is>
          <t>Nu modificati structura</t>
        </is>
      </c>
      <c r="C48" s="18" t="inlineStr">
        <is>
          <t>Fisele de unitate sunt protejate (fara parola): se pot completa doar celulele galbene. Nu inserati, nu stergeti si nu mutati randuri in fisa unitatii, mai ales in sectiunea 3: rezultatele depind de pozitia celulelor. Fisa are 8 randuri pentru componente, iar lista 'Unitati Ambalaj' are loc pentru 10 unitati. Daca aveti nevoie de mai multe, contactati MIRALEDO.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D29"/>
  <sheetViews>
    <sheetView showGridLines="0" topLeftCell="A19" zoomScaleNormal="100" workbookViewId="0">
      <selection activeCell="B29" sqref="B29"/>
    </sheetView>
  </sheetViews>
  <sheetFormatPr baseColWidth="8" defaultColWidth="8.6640625" defaultRowHeight="14.4"/>
  <cols>
    <col width="3" customWidth="1" style="128" min="1" max="1"/>
    <col width="60.44140625" customWidth="1" style="128" min="2" max="2"/>
    <col width="20" customWidth="1" style="128" min="3" max="3"/>
    <col width="86.5546875" customWidth="1" style="128" min="4" max="4"/>
    <col width="3" customWidth="1" style="128" min="5" max="5"/>
  </cols>
  <sheetData>
    <row r="2" ht="27.75" customHeight="1" s="128">
      <c r="B2" s="81" t="inlineStr">
        <is>
          <t>Informatii generale despre companie</t>
        </is>
      </c>
    </row>
    <row r="4" ht="19.5" customHeight="1" s="128">
      <c r="B4" s="80" t="inlineStr">
        <is>
          <t>Date de identificare</t>
        </is>
      </c>
    </row>
    <row r="5" ht="18" customHeight="1" s="128">
      <c r="B5" s="2" t="inlineStr">
        <is>
          <t>Denumire companie</t>
        </is>
      </c>
      <c r="C5" s="130" t="inlineStr">
        <is>
          <t>SC Alevia SRL</t>
        </is>
      </c>
      <c r="D5" s="131" t="n"/>
    </row>
    <row r="6" ht="18" customHeight="1" s="128">
      <c r="B6" s="2" t="inlineStr">
        <is>
          <t>CUI / Cod fiscal</t>
        </is>
      </c>
      <c r="C6" s="130" t="inlineStr">
        <is>
          <t>RO6283577</t>
        </is>
      </c>
      <c r="D6" s="131" t="n"/>
    </row>
    <row r="7" ht="18" customHeight="1" s="128">
      <c r="B7" s="2" t="inlineStr">
        <is>
          <t>Adresa sediu</t>
        </is>
      </c>
      <c r="C7" s="130" t="inlineStr">
        <is>
          <t>Str. Ana Ipatescu nr. 9, Falticeni, jud. Suceava</t>
        </is>
      </c>
      <c r="D7" s="131" t="n"/>
    </row>
    <row r="8" ht="18" customHeight="1" s="128">
      <c r="B8" s="2" t="inlineStr">
        <is>
          <t>Adresa punct de productie (daca difera)</t>
        </is>
      </c>
      <c r="C8" s="130" t="inlineStr">
        <is>
          <t>Fabrica proprie in Falticeni (adresa de confirmat)</t>
        </is>
      </c>
      <c r="D8" s="131" t="n"/>
    </row>
    <row r="9" ht="18" customHeight="1" s="128">
      <c r="B9" s="2" t="inlineStr">
        <is>
          <t>Website</t>
        </is>
      </c>
      <c r="C9" s="130" t="inlineStr">
        <is>
          <t>www.alevia.ro</t>
        </is>
      </c>
      <c r="D9" s="131" t="n"/>
    </row>
    <row r="10" ht="18" customHeight="1" s="128">
      <c r="B10" s="2" t="inlineStr">
        <is>
          <t>Domeniu de activitate / Industrie</t>
        </is>
      </c>
      <c r="C10" s="130" t="inlineStr">
        <is>
          <t>Suplimente alimentare, ceaiuri, creme si balsamuri, produse alimentare naturale</t>
        </is>
      </c>
      <c r="D10" s="131" t="n"/>
    </row>
    <row r="12" ht="19.5" customHeight="1" s="128">
      <c r="B12" s="80" t="inlineStr">
        <is>
          <t>Persoana de contact</t>
        </is>
      </c>
    </row>
    <row r="13" ht="18" customHeight="1" s="128">
      <c r="B13" s="2" t="inlineStr">
        <is>
          <t>Nume si prenume</t>
        </is>
      </c>
      <c r="C13" s="130" t="n"/>
      <c r="D13" s="131" t="n"/>
    </row>
    <row r="14" ht="18" customHeight="1" s="128">
      <c r="B14" s="2" t="inlineStr">
        <is>
          <t>Functie</t>
        </is>
      </c>
      <c r="C14" s="130" t="n"/>
      <c r="D14" s="131" t="n"/>
    </row>
    <row r="15" ht="18" customHeight="1" s="128">
      <c r="B15" s="2" t="inlineStr">
        <is>
          <t>Email</t>
        </is>
      </c>
      <c r="C15" s="130" t="n"/>
      <c r="D15" s="131" t="n"/>
    </row>
    <row r="16" ht="18" customHeight="1" s="128">
      <c r="B16" s="2" t="inlineStr">
        <is>
          <t>Telefon</t>
        </is>
      </c>
      <c r="C16" s="130" t="n"/>
      <c r="D16" s="131" t="n"/>
    </row>
    <row r="18" ht="19.5" customHeight="1" s="128">
      <c r="B18" s="80" t="inlineStr">
        <is>
          <t>Profil comercial si de productie</t>
        </is>
      </c>
    </row>
    <row r="19" ht="18" customHeight="1" s="128">
      <c r="B19" s="2" t="inlineStr">
        <is>
          <t>Piete de desfacere (Romania / export)</t>
        </is>
      </c>
      <c r="C19" s="130" t="inlineStr">
        <is>
          <t>De confirmat</t>
        </is>
      </c>
      <c r="D19" s="131" t="n"/>
    </row>
    <row r="20" ht="18" customHeight="1" s="128">
      <c r="B20" s="2" t="inlineStr">
        <is>
          <t>Volum anual de productie estimat (toate produsele)</t>
        </is>
      </c>
      <c r="C20" s="130" t="inlineStr">
        <is>
          <t>De confirmat</t>
        </is>
      </c>
      <c r="D20" s="131" t="n"/>
    </row>
    <row r="21" ht="19.2" customHeight="1" s="128">
      <c r="B21" s="2" t="inlineStr">
        <is>
          <t>Nr. aproximativ de produse/SKU-uri si de unitati de ambalaj diferite</t>
        </is>
      </c>
      <c r="C21" s="130" t="inlineStr">
        <is>
          <t>365 produse pe alevia.ro (28.10.2026); 46 unitati de ambalaj identificate pana acum</t>
        </is>
      </c>
      <c r="D21" s="131" t="n"/>
    </row>
    <row r="22" ht="17.4" customHeight="1" s="128">
      <c r="B22" s="2" t="inlineStr">
        <is>
          <t>Certificari companie (ISO, GMP, HACCP etc.)</t>
        </is>
      </c>
      <c r="C22" s="130" t="inlineStr">
        <is>
          <t>ISO 9001:2015, ISO 22000:2018, HACCP (mentionate pe alevia.ro)</t>
        </is>
      </c>
      <c r="D22" s="131" t="n"/>
    </row>
    <row r="23" ht="18" customHeight="1" s="128">
      <c r="B23" s="2" t="inlineStr">
        <is>
          <t>Cerinte de sustenabilitate / PPWR cunoscute</t>
        </is>
      </c>
      <c r="C23" s="130" t="inlineStr">
        <is>
          <t>De confirmat</t>
        </is>
      </c>
      <c r="D23" s="131" t="n"/>
    </row>
    <row r="24" ht="18" customHeight="1" s="128">
      <c r="B24" s="2" t="inlineStr">
        <is>
          <t>Mod actual de raportare EPR / Fond de Mediu</t>
        </is>
      </c>
      <c r="C24" s="130" t="inlineStr">
        <is>
          <t>De confirmat</t>
        </is>
      </c>
      <c r="D24" s="131" t="n"/>
    </row>
    <row r="26" ht="19.5" customHeight="1" s="128">
      <c r="B26" s="80" t="inlineStr">
        <is>
          <t>Administrativ</t>
        </is>
      </c>
    </row>
    <row r="27" ht="18.6" customHeight="1" s="128">
      <c r="B27" s="2" t="inlineStr">
        <is>
          <t>Data completarii</t>
        </is>
      </c>
      <c r="C27" s="130" t="inlineStr">
        <is>
          <t>28.10.2026</t>
        </is>
      </c>
      <c r="D27" s="131" t="n"/>
    </row>
    <row r="28" ht="18.6" customHeight="1" s="128">
      <c r="B28" s="2" t="inlineStr">
        <is>
          <t>Completat de (nume si companie)</t>
        </is>
      </c>
      <c r="C28" s="130" t="inlineStr">
        <is>
          <t>MIRALEDO (date preluate de pe alevia.ro)</t>
        </is>
      </c>
      <c r="D28" s="131" t="n"/>
    </row>
    <row r="29" ht="18.6" customHeight="1" s="128">
      <c r="B29" s="2" t="inlineStr">
        <is>
          <t>Persoana de contact MIRALEDO (nume, email, telefon)</t>
        </is>
      </c>
      <c r="C29" s="130" t="n"/>
      <c r="D29" s="131" t="n"/>
    </row>
  </sheetData>
  <mergeCells count="24">
    <mergeCell ref="C6:D6"/>
    <mergeCell ref="C24:D24"/>
    <mergeCell ref="C15:D15"/>
    <mergeCell ref="C5:D5"/>
    <mergeCell ref="C14:D14"/>
    <mergeCell ref="C20:D20"/>
    <mergeCell ref="C29:D29"/>
    <mergeCell ref="C10:D10"/>
    <mergeCell ref="C16:D16"/>
    <mergeCell ref="C22:D22"/>
    <mergeCell ref="C9:D9"/>
    <mergeCell ref="C21:D21"/>
    <mergeCell ref="C27:D27"/>
    <mergeCell ref="B4:D4"/>
    <mergeCell ref="B26:D26"/>
    <mergeCell ref="C23:D23"/>
    <mergeCell ref="C8:D8"/>
    <mergeCell ref="C7:D7"/>
    <mergeCell ref="C19:D19"/>
    <mergeCell ref="B18:D18"/>
    <mergeCell ref="C28:D28"/>
    <mergeCell ref="C13:D13"/>
    <mergeCell ref="B12:D12"/>
    <mergeCell ref="B2:D2"/>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N60"/>
  <sheetViews>
    <sheetView showGridLines="0" tabSelected="1" zoomScaleNormal="100" workbookViewId="0">
      <pane xSplit="3" ySplit="6" topLeftCell="D7" activePane="bottomRight" state="frozen"/>
      <selection pane="topRight"/>
      <selection pane="bottomLeft"/>
      <selection pane="bottomRight" activeCell="C1" sqref="C1"/>
      <selection pane="bottomLeft" activeCell="A7" sqref="A7"/>
      <selection pane="bottomRight" activeCell="B6" sqref="B6"/>
    </sheetView>
  </sheetViews>
  <sheetFormatPr baseColWidth="8" defaultColWidth="8.6640625" defaultRowHeight="14.4"/>
  <cols>
    <col width="3" customWidth="1" style="128" min="1" max="1"/>
    <col width="7.44140625" customWidth="1" style="128" min="2" max="2"/>
    <col width="35.21875" customWidth="1" style="128" min="3" max="3"/>
    <col width="16.6640625" customWidth="1" style="128" min="4" max="4"/>
    <col width="24.109375" customWidth="1" style="128" min="5" max="5"/>
    <col width="35.21875" customWidth="1" style="128" min="6" max="6"/>
    <col width="18.5546875" customWidth="1" style="128" min="7" max="7"/>
    <col width="15.77734375" customWidth="1" style="128" min="8" max="8"/>
    <col width="14.77734375" customWidth="1" style="128" min="9" max="9"/>
    <col width="19.44140625" customWidth="1" style="128" min="10" max="10"/>
    <col width="23.109375" customWidth="1" style="128" min="11" max="11"/>
    <col width="16.6640625" customWidth="1" style="128" min="12" max="12"/>
    <col width="31.44140625" customWidth="1" style="128" min="13" max="13"/>
  </cols>
  <sheetData>
    <row r="2" ht="27.75" customHeight="1" s="128">
      <c r="B2" s="129" t="inlineStr">
        <is>
          <t>Unitati de ambalaj — lista si rezumat</t>
        </is>
      </c>
      <c r="L2" s="34" t="n"/>
      <c r="M2" s="34" t="n"/>
    </row>
    <row r="4" ht="27.75" customHeight="1" s="128">
      <c r="B4" s="82" t="inlineStr">
        <is>
          <t>Fiecare linie = o unitate de ambalaj (o configuratie fizica de componente). Detalierea completa (componente, cerinte, risc PPWR, comercial) se face in sheet-ul scris la 'Sheet analiza'. Coloanele galbene se completeaza; coloanele verzi se preiau automat din acel sheet. Daca numele sheet-ului este gresit, celula devine rosie.</t>
        </is>
      </c>
    </row>
    <row r="6" ht="45" customHeight="1" s="128">
      <c r="B6" s="3" t="inlineStr">
        <is>
          <t>Nr.</t>
        </is>
      </c>
      <c r="C6" s="3" t="inlineStr">
        <is>
          <t>Denumire unitate (pe baza componentelor)</t>
        </is>
      </c>
      <c r="D6" s="3" t="inlineStr">
        <is>
          <t>Volum ambalaj (ml / g)</t>
        </is>
      </c>
      <c r="E6" s="3" t="inlineStr">
        <is>
          <t>Culoare</t>
        </is>
      </c>
      <c r="F6" s="3" t="inlineStr">
        <is>
          <t>Produse / SKU-uri care o folosesc</t>
        </is>
      </c>
      <c r="G6" s="3" t="inlineStr">
        <is>
          <t>Sheet analiza (nume exact)</t>
        </is>
      </c>
      <c r="H6" s="3" t="inlineStr">
        <is>
          <t>Greutate totala (g)</t>
        </is>
      </c>
      <c r="I6" s="3" t="inlineStr">
        <is>
          <t>% reciclabil</t>
        </is>
      </c>
      <c r="J6" s="3" t="inlineStr">
        <is>
          <t>Clasa reciclabilitate</t>
        </is>
      </c>
      <c r="K6" s="3" t="inlineStr">
        <is>
          <t>Prioritate (Mare / Medie / Mica)</t>
        </is>
      </c>
      <c r="L6" s="3" t="inlineStr">
        <is>
          <t>Stadiu analiza</t>
        </is>
      </c>
      <c r="M6" s="3" t="inlineStr">
        <is>
          <t>Observatii</t>
        </is>
      </c>
    </row>
    <row r="7" s="128">
      <c r="B7" s="132" t="n">
        <v>1</v>
      </c>
      <c r="C7" s="133" t="inlineStr">
        <is>
          <t>Blister(e) 30 comprimate masticabile (in cutie)</t>
        </is>
      </c>
      <c r="D7" s="133" t="inlineStr">
        <is>
          <t>De confirmat</t>
        </is>
      </c>
      <c r="E7" s="133" t="inlineStr">
        <is>
          <t>De confirmat</t>
        </is>
      </c>
      <c r="F7" s="133" t="inlineStr">
        <is>
          <t>Vitamina C cu pulpă de măceșe cu stevie Blister 30 comprimate masticabile</t>
        </is>
      </c>
      <c r="G7" s="132" t="n"/>
      <c r="H7" s="134">
        <f>IFERROR(INDIRECT("'"&amp;G7&amp;"'!E26"),"")</f>
        <v/>
      </c>
      <c r="I7" s="135">
        <f>IFERROR(INDIRECT("'"&amp;G7&amp;"'!E27"),"")</f>
        <v/>
      </c>
      <c r="J7" s="136">
        <f>IFERROR(INDIRECT("'"&amp;G7&amp;"'!E28"),"")</f>
        <v/>
      </c>
      <c r="K7" s="137" t="n"/>
      <c r="L7" s="137" t="inlineStr">
        <is>
          <t>In curs</t>
        </is>
      </c>
      <c r="M7" s="138" t="n"/>
    </row>
    <row r="8" s="128">
      <c r="B8" s="132" t="n">
        <v>2</v>
      </c>
      <c r="C8" s="133" t="inlineStr">
        <is>
          <t>Blister(e) 20 comprimate (in cutie)</t>
        </is>
      </c>
      <c r="D8" s="133" t="inlineStr">
        <is>
          <t>De confirmat</t>
        </is>
      </c>
      <c r="E8" s="133" t="inlineStr">
        <is>
          <t>De confirmat</t>
        </is>
      </c>
      <c r="F8" s="133" t="inlineStr">
        <is>
          <t>Silfide Complex de slăbit forte Blister 20 comprimate</t>
        </is>
      </c>
      <c r="G8" s="132" t="n"/>
      <c r="H8" s="134">
        <f>IFERROR(INDIRECT("'"&amp;G8&amp;"'!E26"),"")</f>
        <v/>
      </c>
      <c r="I8" s="135">
        <f>IFERROR(INDIRECT("'"&amp;G8&amp;"'!E27"),"")</f>
        <v/>
      </c>
      <c r="J8" s="136">
        <f>IFERROR(INDIRECT("'"&amp;G8&amp;"'!E28"),"")</f>
        <v/>
      </c>
      <c r="K8" s="137" t="n"/>
      <c r="L8" s="137" t="inlineStr">
        <is>
          <t>In curs</t>
        </is>
      </c>
      <c r="M8" s="138" t="n"/>
    </row>
    <row r="9" s="128">
      <c r="B9" s="132" t="n">
        <v>3</v>
      </c>
      <c r="C9" s="133" t="inlineStr">
        <is>
          <t>Blister(e) 20 comprimate masticabile (in cutie)</t>
        </is>
      </c>
      <c r="D9" s="133" t="inlineStr">
        <is>
          <t>De confirmat</t>
        </is>
      </c>
      <c r="E9" s="133" t="inlineStr">
        <is>
          <t>De confirmat</t>
        </is>
      </c>
      <c r="F9" s="133" t="inlineStr">
        <is>
          <t>Propolis Vitamina C cu Echinacea Blister 20 comprimate masticabile</t>
        </is>
      </c>
      <c r="G9" s="132" t="n"/>
      <c r="H9" s="134">
        <f>IFERROR(INDIRECT("'"&amp;G9&amp;"'!E26"),"")</f>
        <v/>
      </c>
      <c r="I9" s="135">
        <f>IFERROR(INDIRECT("'"&amp;G9&amp;"'!E27"),"")</f>
        <v/>
      </c>
      <c r="J9" s="136">
        <f>IFERROR(INDIRECT("'"&amp;G9&amp;"'!E28"),"")</f>
        <v/>
      </c>
      <c r="K9" s="137" t="n"/>
      <c r="L9" s="137" t="inlineStr">
        <is>
          <t>In curs</t>
        </is>
      </c>
      <c r="M9" s="138" t="n"/>
    </row>
    <row r="10" s="128">
      <c r="B10" s="132" t="n">
        <v>4</v>
      </c>
      <c r="C10" s="133" t="inlineStr">
        <is>
          <t>Flacon 200 comprimate + capac</t>
        </is>
      </c>
      <c r="D10" s="133" t="inlineStr">
        <is>
          <t>De confirmat</t>
        </is>
      </c>
      <c r="E10" s="133" t="inlineStr">
        <is>
          <t>Alb (flacon si capac, din poza)</t>
        </is>
      </c>
      <c r="F10" s="133" t="inlineStr">
        <is>
          <t>Spirulină 500mg 200 comprimate</t>
        </is>
      </c>
      <c r="G10" s="132" t="n"/>
      <c r="H10" s="134">
        <f>IFERROR(INDIRECT("'"&amp;G10&amp;"'!E26"),"")</f>
        <v/>
      </c>
      <c r="I10" s="135">
        <f>IFERROR(INDIRECT("'"&amp;G10&amp;"'!E27"),"")</f>
        <v/>
      </c>
      <c r="J10" s="136">
        <f>IFERROR(INDIRECT("'"&amp;G10&amp;"'!E28"),"")</f>
        <v/>
      </c>
      <c r="K10" s="137" t="n"/>
      <c r="L10" s="137" t="inlineStr">
        <is>
          <t>In curs</t>
        </is>
      </c>
      <c r="M10" s="138" t="n"/>
    </row>
    <row r="11" s="128">
      <c r="B11" s="132" t="n">
        <v>5</v>
      </c>
      <c r="C11" s="133" t="inlineStr">
        <is>
          <t>Flacon 120 capsule moi + capac</t>
        </is>
      </c>
      <c r="D11" s="133" t="inlineStr">
        <is>
          <t>De confirmat</t>
        </is>
      </c>
      <c r="E11" s="133" t="inlineStr">
        <is>
          <t>Alb (flacon si capac, din poza)</t>
        </is>
      </c>
      <c r="F11" s="133" t="inlineStr">
        <is>
          <t>Ulei de somon Omega 3 120 capsule moi; Ulei de pește Omega 3 120 capsule moi; Silymarin Milk thistle 1000mg 120 capsule moi</t>
        </is>
      </c>
      <c r="G11" s="132" t="n"/>
      <c r="H11" s="134">
        <f>IFERROR(INDIRECT("'"&amp;G11&amp;"'!E26"),"")</f>
        <v/>
      </c>
      <c r="I11" s="135">
        <f>IFERROR(INDIRECT("'"&amp;G11&amp;"'!E27"),"")</f>
        <v/>
      </c>
      <c r="J11" s="136">
        <f>IFERROR(INDIRECT("'"&amp;G11&amp;"'!E28"),"")</f>
        <v/>
      </c>
      <c r="K11" s="137" t="n"/>
      <c r="L11" s="137" t="inlineStr">
        <is>
          <t>In curs</t>
        </is>
      </c>
      <c r="M11" s="138" t="n"/>
    </row>
    <row r="12" s="128">
      <c r="B12" s="132" t="n">
        <v>6</v>
      </c>
      <c r="C12" s="133" t="inlineStr">
        <is>
          <t>Flacon 120 capsule vegetale + capac</t>
        </is>
      </c>
      <c r="D12" s="133" t="inlineStr">
        <is>
          <t>De confirmat</t>
        </is>
      </c>
      <c r="E12" s="133" t="inlineStr">
        <is>
          <t>Alb (flacon si capac, din poza)</t>
        </is>
      </c>
      <c r="F12" s="133" t="inlineStr">
        <is>
          <t>Vitamina C cu Zn și D3 1000mg 120 capsule vegetale; Vitamina D3 Optim 2000UI 120 capsule vegetale; Vitamina C 1000mg 120 capsule vegetale; Articlar Colagen 120 capsule vegetale; D3 + K2 Forte 120 capsule vegetale; Magneziu 375mg B6 120 capsule vegetale; Zinc Optim 25mg 120 capsule vegetale; Magneziu Bisglicinat 120 capsule vegetale</t>
        </is>
      </c>
      <c r="G12" s="132" t="n"/>
      <c r="H12" s="134">
        <f>IFERROR(INDIRECT("'"&amp;G12&amp;"'!E26"),"")</f>
        <v/>
      </c>
      <c r="I12" s="135">
        <f>IFERROR(INDIRECT("'"&amp;G12&amp;"'!E27"),"")</f>
        <v/>
      </c>
      <c r="J12" s="136">
        <f>IFERROR(INDIRECT("'"&amp;G12&amp;"'!E28"),"")</f>
        <v/>
      </c>
      <c r="K12" s="137" t="n"/>
      <c r="L12" s="137" t="inlineStr">
        <is>
          <t>In curs</t>
        </is>
      </c>
      <c r="M12" s="138" t="n"/>
    </row>
    <row r="13" s="128">
      <c r="B13" s="132" t="n">
        <v>7</v>
      </c>
      <c r="C13" s="133" t="inlineStr">
        <is>
          <t>Flacon 120 comprimate + capac</t>
        </is>
      </c>
      <c r="D13" s="133" t="inlineStr">
        <is>
          <t>De confirmat</t>
        </is>
      </c>
      <c r="E13" s="133" t="inlineStr">
        <is>
          <t>Alb (flacon si capac, din poza)</t>
        </is>
      </c>
      <c r="F13" s="133" t="inlineStr">
        <is>
          <t>Maca Pachet 120+120 comprimate; Vitamina B12 Optim 1000µg 120 comprimate; Maca 120 comprimate</t>
        </is>
      </c>
      <c r="G13" s="132" t="n"/>
      <c r="H13" s="134">
        <f>IFERROR(INDIRECT("'"&amp;G13&amp;"'!E26"),"")</f>
        <v/>
      </c>
      <c r="I13" s="135">
        <f>IFERROR(INDIRECT("'"&amp;G13&amp;"'!E27"),"")</f>
        <v/>
      </c>
      <c r="J13" s="136">
        <f>IFERROR(INDIRECT("'"&amp;G13&amp;"'!E28"),"")</f>
        <v/>
      </c>
      <c r="K13" s="137" t="n"/>
      <c r="L13" s="137" t="inlineStr">
        <is>
          <t>In curs</t>
        </is>
      </c>
      <c r="M13" s="138" t="n"/>
    </row>
    <row r="14" s="128">
      <c r="B14" s="132" t="n">
        <v>8</v>
      </c>
      <c r="C14" s="133" t="inlineStr">
        <is>
          <t>Flacon 120 comprimate filmate + capac</t>
        </is>
      </c>
      <c r="D14" s="133" t="inlineStr">
        <is>
          <t>De confirmat</t>
        </is>
      </c>
      <c r="E14" s="133" t="inlineStr">
        <is>
          <t>Alb (flacon si capac, din poza)</t>
        </is>
      </c>
      <c r="F14" s="133" t="inlineStr">
        <is>
          <t>Seleniu Natural 200µg 120 comprimate filmate</t>
        </is>
      </c>
      <c r="G14" s="132" t="n"/>
      <c r="H14" s="134">
        <f>IFERROR(INDIRECT("'"&amp;G14&amp;"'!E26"),"")</f>
        <v/>
      </c>
      <c r="I14" s="135">
        <f>IFERROR(INDIRECT("'"&amp;G14&amp;"'!E27"),"")</f>
        <v/>
      </c>
      <c r="J14" s="136">
        <f>IFERROR(INDIRECT("'"&amp;G14&amp;"'!E28"),"")</f>
        <v/>
      </c>
      <c r="K14" s="137" t="n"/>
      <c r="L14" s="137" t="inlineStr">
        <is>
          <t>In curs</t>
        </is>
      </c>
      <c r="M14" s="138" t="n"/>
    </row>
    <row r="15" s="128">
      <c r="B15" s="132" t="n">
        <v>9</v>
      </c>
      <c r="C15" s="133" t="inlineStr">
        <is>
          <t>Flacon 100 comprimate + capac</t>
        </is>
      </c>
      <c r="D15" s="133" t="inlineStr">
        <is>
          <t>De confirmat</t>
        </is>
      </c>
      <c r="E15" s="133" t="inlineStr">
        <is>
          <t>Alb (flacon si capac, din poza)</t>
        </is>
      </c>
      <c r="F15" s="133" t="inlineStr">
        <is>
          <t>Spirulină Bio 1000mg 100 comprimate; Calciu Magneziu Zinc 100 comprimate; Zaharină 100 comprimate; Silimarină 300mg 100 comprimate; Silimarină 150mg 100 comprimate; Spirulină Bio 1000mg Pachet 100+100 comprimate</t>
        </is>
      </c>
      <c r="G15" s="132" t="n"/>
      <c r="H15" s="134">
        <f>IFERROR(INDIRECT("'"&amp;G15&amp;"'!E26"),"")</f>
        <v/>
      </c>
      <c r="I15" s="135">
        <f>IFERROR(INDIRECT("'"&amp;G15&amp;"'!E27"),"")</f>
        <v/>
      </c>
      <c r="J15" s="136">
        <f>IFERROR(INDIRECT("'"&amp;G15&amp;"'!E28"),"")</f>
        <v/>
      </c>
      <c r="K15" s="137" t="n"/>
      <c r="L15" s="137" t="inlineStr">
        <is>
          <t>In curs</t>
        </is>
      </c>
      <c r="M15" s="138" t="n"/>
    </row>
    <row r="16" s="128">
      <c r="B16" s="132" t="n">
        <v>10</v>
      </c>
      <c r="C16" s="133" t="inlineStr">
        <is>
          <t>Flacon 90 capsule vegetale + capac</t>
        </is>
      </c>
      <c r="D16" s="133" t="inlineStr">
        <is>
          <t>De confirmat</t>
        </is>
      </c>
      <c r="E16" s="133" t="inlineStr">
        <is>
          <t>Alb (flacon si capac, din poza)</t>
        </is>
      </c>
      <c r="F16" s="133" t="inlineStr">
        <is>
          <t>Magtein® 90 capsule vegetale</t>
        </is>
      </c>
      <c r="G16" s="132" t="n"/>
      <c r="H16" s="134">
        <f>IFERROR(INDIRECT("'"&amp;G16&amp;"'!E26"),"")</f>
        <v/>
      </c>
      <c r="I16" s="135">
        <f>IFERROR(INDIRECT("'"&amp;G16&amp;"'!E27"),"")</f>
        <v/>
      </c>
      <c r="J16" s="136">
        <f>IFERROR(INDIRECT("'"&amp;G16&amp;"'!E28"),"")</f>
        <v/>
      </c>
      <c r="K16" s="137" t="n"/>
      <c r="L16" s="137" t="inlineStr">
        <is>
          <t>In curs</t>
        </is>
      </c>
      <c r="M16" s="138" t="n"/>
    </row>
    <row r="17" s="128">
      <c r="B17" s="132" t="n">
        <v>11</v>
      </c>
      <c r="C17" s="133" t="inlineStr">
        <is>
          <t>Flacon 70 capsule moi + capac</t>
        </is>
      </c>
      <c r="D17" s="133" t="inlineStr">
        <is>
          <t>De confirmat</t>
        </is>
      </c>
      <c r="E17" s="133" t="inlineStr">
        <is>
          <t>Alb (flacon si capac, din poza)</t>
        </is>
      </c>
      <c r="F17" s="133" t="inlineStr">
        <is>
          <t>Ulei de pește Omega 3 70 capsule moi</t>
        </is>
      </c>
      <c r="G17" s="132" t="n"/>
      <c r="H17" s="134">
        <f>IFERROR(INDIRECT("'"&amp;G17&amp;"'!E26"),"")</f>
        <v/>
      </c>
      <c r="I17" s="135">
        <f>IFERROR(INDIRECT("'"&amp;G17&amp;"'!E27"),"")</f>
        <v/>
      </c>
      <c r="J17" s="136">
        <f>IFERROR(INDIRECT("'"&amp;G17&amp;"'!E28"),"")</f>
        <v/>
      </c>
      <c r="K17" s="137" t="n"/>
      <c r="L17" s="137" t="inlineStr">
        <is>
          <t>In curs</t>
        </is>
      </c>
      <c r="M17" s="138" t="n"/>
    </row>
    <row r="18" s="128">
      <c r="B18" s="132" t="n">
        <v>12</v>
      </c>
      <c r="C18" s="133" t="inlineStr">
        <is>
          <t>Flacon 60 capsule moi + capac</t>
        </is>
      </c>
      <c r="D18" s="133" t="inlineStr">
        <is>
          <t>De confirmat</t>
        </is>
      </c>
      <c r="E18" s="133" t="inlineStr">
        <is>
          <t>Alb (flacon si capac, din poza)</t>
        </is>
      </c>
      <c r="F18" s="133" t="inlineStr">
        <is>
          <t>Ulei de somon Omega 3 60 capsule moi; Lecitină 1200mg 60 capsule moi; Omega 3 6 9 Pachet 60+60 capsule moi; Omega 3 6 9 60 capsule moi; Silymarin Milk thistle 1000mg 60 capsule moi</t>
        </is>
      </c>
      <c r="G18" s="132" t="n"/>
      <c r="H18" s="134">
        <f>IFERROR(INDIRECT("'"&amp;G18&amp;"'!E26"),"")</f>
        <v/>
      </c>
      <c r="I18" s="135">
        <f>IFERROR(INDIRECT("'"&amp;G18&amp;"'!E27"),"")</f>
        <v/>
      </c>
      <c r="J18" s="136">
        <f>IFERROR(INDIRECT("'"&amp;G18&amp;"'!E28"),"")</f>
        <v/>
      </c>
      <c r="K18" s="137" t="n"/>
      <c r="L18" s="137" t="inlineStr">
        <is>
          <t>In curs</t>
        </is>
      </c>
      <c r="M18" s="138" t="n"/>
    </row>
    <row r="19" s="128">
      <c r="B19" s="132" t="n">
        <v>13</v>
      </c>
      <c r="C19" s="133" t="inlineStr">
        <is>
          <t>Flacon 60 capsule vegetale + capac</t>
        </is>
      </c>
      <c r="D19" s="133" t="inlineStr">
        <is>
          <t>De confirmat</t>
        </is>
      </c>
      <c r="E19" s="133" t="inlineStr">
        <is>
          <t>Alb (flacon si capac, din poza)</t>
        </is>
      </c>
      <c r="F19" s="133" t="inlineStr">
        <is>
          <t>Tămâie 500mg Boswellia serrata 60 capsule vegetale; L-Arginină 60 capsule vegetale; Berberină Duo 60 capsule vegetale; Coenzima Q10 60mg 60 capsule vegetale; Magneziu Bisglicinat 60 capsule vegetale</t>
        </is>
      </c>
      <c r="G19" s="132" t="n"/>
      <c r="H19" s="134">
        <f>IFERROR(INDIRECT("'"&amp;G19&amp;"'!E26"),"")</f>
        <v/>
      </c>
      <c r="I19" s="135">
        <f>IFERROR(INDIRECT("'"&amp;G19&amp;"'!E27"),"")</f>
        <v/>
      </c>
      <c r="J19" s="136">
        <f>IFERROR(INDIRECT("'"&amp;G19&amp;"'!E28"),"")</f>
        <v/>
      </c>
      <c r="K19" s="137" t="n"/>
      <c r="L19" s="137" t="inlineStr">
        <is>
          <t>In curs</t>
        </is>
      </c>
      <c r="M19" s="138" t="n"/>
    </row>
    <row r="20" s="128">
      <c r="B20" s="132" t="n">
        <v>14</v>
      </c>
      <c r="C20" s="133" t="inlineStr">
        <is>
          <t>Flacon 60 comprimate + capac</t>
        </is>
      </c>
      <c r="D20" s="133" t="inlineStr">
        <is>
          <t>De confirmat</t>
        </is>
      </c>
      <c r="E20" s="133" t="inlineStr">
        <is>
          <t>Alb (flacon si capac, din poza)</t>
        </is>
      </c>
      <c r="F20" s="133" t="inlineStr">
        <is>
          <t>Ginkgo biloba 100mg Pachet 60+60 comprimate; Rhodiola Pachet 60+60 comprimate; Anghinare 60 comprimate; Calciu lactic 60 comprimate; Anghinare Pachet 60+60 comprimate; Ca-Mg-Zn Vitamineral 60 comprimate; Ca+D3 60 comprimate; CaMgZn + Vitamina C 60 comprimate; Ginkgo biloba 100mg 60 comprimate; Coenzima Q10 cu Catină 60 comprimate; Rhodiola 60 comprimate</t>
        </is>
      </c>
      <c r="G20" s="132" t="n"/>
      <c r="H20" s="134">
        <f>IFERROR(INDIRECT("'"&amp;G20&amp;"'!E26"),"")</f>
        <v/>
      </c>
      <c r="I20" s="135">
        <f>IFERROR(INDIRECT("'"&amp;G20&amp;"'!E27"),"")</f>
        <v/>
      </c>
      <c r="J20" s="136">
        <f>IFERROR(INDIRECT("'"&amp;G20&amp;"'!E28"),"")</f>
        <v/>
      </c>
      <c r="K20" s="137" t="n"/>
      <c r="L20" s="137" t="inlineStr">
        <is>
          <t>In curs</t>
        </is>
      </c>
      <c r="M20" s="138" t="n"/>
    </row>
    <row r="21" s="128">
      <c r="B21" s="132" t="n">
        <v>15</v>
      </c>
      <c r="C21" s="133" t="inlineStr">
        <is>
          <t>Flacon 60 comprimate masticabile + capac</t>
        </is>
      </c>
      <c r="D21" s="133" t="inlineStr">
        <is>
          <t>De confirmat</t>
        </is>
      </c>
      <c r="E21" s="133" t="inlineStr">
        <is>
          <t>Alb (flacon si capac, din poza)</t>
        </is>
      </c>
      <c r="F21" s="133" t="inlineStr">
        <is>
          <t>Bomboane cu mentă 60 comprimate masticabile; Vitamina C 180mg 60 comprimate masticabile</t>
        </is>
      </c>
      <c r="G21" s="132" t="n"/>
      <c r="H21" s="134">
        <f>IFERROR(INDIRECT("'"&amp;G21&amp;"'!E26"),"")</f>
        <v/>
      </c>
      <c r="I21" s="135">
        <f>IFERROR(INDIRECT("'"&amp;G21&amp;"'!E27"),"")</f>
        <v/>
      </c>
      <c r="J21" s="136">
        <f>IFERROR(INDIRECT("'"&amp;G21&amp;"'!E28"),"")</f>
        <v/>
      </c>
      <c r="K21" s="137" t="n"/>
      <c r="L21" s="137" t="inlineStr">
        <is>
          <t>In curs</t>
        </is>
      </c>
      <c r="M21" s="138" t="n"/>
    </row>
    <row r="22" s="128">
      <c r="B22" s="132" t="n">
        <v>16</v>
      </c>
      <c r="C22" s="133" t="inlineStr">
        <is>
          <t>Flacon 45 comprimate + capac</t>
        </is>
      </c>
      <c r="D22" s="133" t="inlineStr">
        <is>
          <t>De confirmat</t>
        </is>
      </c>
      <c r="E22" s="133" t="inlineStr">
        <is>
          <t>Alb (flacon si capac, din poza)</t>
        </is>
      </c>
      <c r="F22" s="133" t="inlineStr">
        <is>
          <t>Spirulină Bio 1000mg 45 comprimate</t>
        </is>
      </c>
      <c r="G22" s="132" t="n"/>
      <c r="H22" s="134">
        <f>IFERROR(INDIRECT("'"&amp;G22&amp;"'!E26"),"")</f>
        <v/>
      </c>
      <c r="I22" s="135">
        <f>IFERROR(INDIRECT("'"&amp;G22&amp;"'!E27"),"")</f>
        <v/>
      </c>
      <c r="J22" s="136">
        <f>IFERROR(INDIRECT("'"&amp;G22&amp;"'!E28"),"")</f>
        <v/>
      </c>
      <c r="K22" s="137" t="n"/>
      <c r="L22" s="137" t="inlineStr">
        <is>
          <t>In curs</t>
        </is>
      </c>
      <c r="M22" s="138" t="n"/>
    </row>
    <row r="23" s="128">
      <c r="B23" s="132" t="n">
        <v>17</v>
      </c>
      <c r="C23" s="133" t="inlineStr">
        <is>
          <t>Flacon 40 comprimate + capac</t>
        </is>
      </c>
      <c r="D23" s="133" t="inlineStr">
        <is>
          <t>De confirmat</t>
        </is>
      </c>
      <c r="E23" s="133" t="inlineStr">
        <is>
          <t>Alb (flacon si capac, din poza)</t>
        </is>
      </c>
      <c r="F23" s="133" t="inlineStr">
        <is>
          <t>Calciu Magneziu Zinc 40 comprimate; Calciu Vitamina D3 40 comprimate</t>
        </is>
      </c>
      <c r="G23" s="132" t="n"/>
      <c r="H23" s="134">
        <f>IFERROR(INDIRECT("'"&amp;G23&amp;"'!E26"),"")</f>
        <v/>
      </c>
      <c r="I23" s="135">
        <f>IFERROR(INDIRECT("'"&amp;G23&amp;"'!E27"),"")</f>
        <v/>
      </c>
      <c r="J23" s="136">
        <f>IFERROR(INDIRECT("'"&amp;G23&amp;"'!E28"),"")</f>
        <v/>
      </c>
      <c r="K23" s="137" t="n"/>
      <c r="L23" s="137" t="inlineStr">
        <is>
          <t>In curs</t>
        </is>
      </c>
      <c r="M23" s="138" t="n"/>
    </row>
    <row r="24" s="128">
      <c r="B24" s="132" t="n">
        <v>18</v>
      </c>
      <c r="C24" s="133" t="inlineStr">
        <is>
          <t>Flacon 30 capsule moi + capac</t>
        </is>
      </c>
      <c r="D24" s="133" t="inlineStr">
        <is>
          <t>De confirmat</t>
        </is>
      </c>
      <c r="E24" s="133" t="inlineStr">
        <is>
          <t>Alb (flacon si capac, din poza)</t>
        </is>
      </c>
      <c r="F24" s="133" t="inlineStr">
        <is>
          <t>Chimen Negru 500mg 30 capsule moi</t>
        </is>
      </c>
      <c r="G24" s="132" t="n"/>
      <c r="H24" s="134">
        <f>IFERROR(INDIRECT("'"&amp;G24&amp;"'!E26"),"")</f>
        <v/>
      </c>
      <c r="I24" s="135">
        <f>IFERROR(INDIRECT("'"&amp;G24&amp;"'!E27"),"")</f>
        <v/>
      </c>
      <c r="J24" s="136">
        <f>IFERROR(INDIRECT("'"&amp;G24&amp;"'!E28"),"")</f>
        <v/>
      </c>
      <c r="K24" s="137" t="n"/>
      <c r="L24" s="137" t="inlineStr">
        <is>
          <t>In curs</t>
        </is>
      </c>
      <c r="M24" s="138" t="n"/>
    </row>
    <row r="25" s="128">
      <c r="B25" s="132" t="n">
        <v>19</v>
      </c>
      <c r="C25" s="133" t="inlineStr">
        <is>
          <t>Flacon 30 capsule vegetale + capac</t>
        </is>
      </c>
      <c r="D25" s="133" t="inlineStr">
        <is>
          <t>De confirmat</t>
        </is>
      </c>
      <c r="E25" s="133" t="inlineStr">
        <is>
          <t>Alb (flacon si capac, din poza)</t>
        </is>
      </c>
      <c r="F25" s="133" t="inlineStr">
        <is>
          <t>Vitamina D3 Optim 2000UI 30 capsule vegetale; D3 + K2 30 capsule vegetale; Vitamina C 1000mg 30 capsule vegetale; Fier lipozomal 30 capsule vegetale; Berberină Momordica Gluco Suport 30 capsule vegetale; Coenzima Q10 120mg Pachet 30+30 capsule vegetale; Zinc bisglicinat 30 capsule vegetale; ProstatoSan 30 capsule vegetale; Magneziu Bisglicinat Forte 30 capsule vegetale; D3 + K2 Forte 30 capsule vegetale; EnzimDigest 30 capsule vegetale; Melatonină 3mg 30 capsule vegetale; Calciu citrat Vitamina D3 30 capsule vegetale; Melatonină 5mg 30 capsule vegetale; Vitamina C cu Zn și D3 1000mg 30 capsule vegetale; Quercetin cu Zn și D3 Pachet 30+30 capsule vegetale; Vitamina C Lipozomală 30 capsule vegetale; Magneziu citrat 30 capsule vegetale; Zinc Optim 25mg 30 capsule vegetale; Magneziu 375mg 30 capsule vegetale; Quercetin cu Zn și D3 30 capsule vegetale; Coenzima Q10 120mg 30 capsule vegetale; Astaxanthin 6mg 30 capsule vegetale; Ashwagandha KSM-66® 600mg 30 capsule vegetale; Magneziu Bisglicinat Somn 30 capsule vegetale</t>
        </is>
      </c>
      <c r="G25" s="132" t="n"/>
      <c r="H25" s="134">
        <f>IFERROR(INDIRECT("'"&amp;G25&amp;"'!E26"),"")</f>
        <v/>
      </c>
      <c r="I25" s="135">
        <f>IFERROR(INDIRECT("'"&amp;G25&amp;"'!E27"),"")</f>
        <v/>
      </c>
      <c r="J25" s="136">
        <f>IFERROR(INDIRECT("'"&amp;G25&amp;"'!E28"),"")</f>
        <v/>
      </c>
      <c r="K25" s="137" t="n"/>
      <c r="L25" s="137" t="inlineStr">
        <is>
          <t>In curs</t>
        </is>
      </c>
      <c r="M25" s="138" t="n"/>
    </row>
    <row r="26" s="128">
      <c r="B26" s="132" t="n">
        <v>20</v>
      </c>
      <c r="C26" s="133" t="inlineStr">
        <is>
          <t>Flacon 30 comprimate + capac</t>
        </is>
      </c>
      <c r="D26" s="133" t="inlineStr">
        <is>
          <t>De confirmat</t>
        </is>
      </c>
      <c r="E26" s="133" t="inlineStr">
        <is>
          <t>Alb (flacon si capac, din poza)</t>
        </is>
      </c>
      <c r="F26" s="133" t="inlineStr">
        <is>
          <t>Magneziu Vitamina B6 30 comprimate; Vitamina D3 Forte 5000UI 30 comprimate; MSM Optim 1000mg 30 comprimate; Urifin Pachet 30+30 comprimate; Vitamina B12 Optim 1000µg 30 comprimate; Calciu Magneziu D Pachet 30+30 comprimate; Calciu lactic 30 comprimate; Calciu Magneziu D 30 comprimate; Complex B 30 comprimate; Vitamine și minerale esențiale 30 comprimate; Urifin 30 comprimate</t>
        </is>
      </c>
      <c r="G26" s="132" t="n"/>
      <c r="H26" s="134">
        <f>IFERROR(INDIRECT("'"&amp;G26&amp;"'!E26"),"")</f>
        <v/>
      </c>
      <c r="I26" s="135">
        <f>IFERROR(INDIRECT("'"&amp;G26&amp;"'!E27"),"")</f>
        <v/>
      </c>
      <c r="J26" s="136">
        <f>IFERROR(INDIRECT("'"&amp;G26&amp;"'!E28"),"")</f>
        <v/>
      </c>
      <c r="K26" s="137" t="n"/>
      <c r="L26" s="137" t="inlineStr">
        <is>
          <t>In curs</t>
        </is>
      </c>
      <c r="M26" s="138" t="n"/>
    </row>
    <row r="27" s="128">
      <c r="B27" s="132" t="n">
        <v>21</v>
      </c>
      <c r="C27" s="133" t="inlineStr">
        <is>
          <t>Flacon 30 comprimate filmate + capac</t>
        </is>
      </c>
      <c r="D27" s="133" t="inlineStr">
        <is>
          <t>De confirmat</t>
        </is>
      </c>
      <c r="E27" s="133" t="inlineStr">
        <is>
          <t>Alb (flacon si capac, din poza)</t>
        </is>
      </c>
      <c r="F27" s="133" t="inlineStr">
        <is>
          <t>Seleniu Natural 200µg 30 comprimate filmate</t>
        </is>
      </c>
      <c r="G27" s="132" t="n"/>
      <c r="H27" s="134">
        <f>IFERROR(INDIRECT("'"&amp;G27&amp;"'!E26"),"")</f>
        <v/>
      </c>
      <c r="I27" s="135">
        <f>IFERROR(INDIRECT("'"&amp;G27&amp;"'!E27"),"")</f>
        <v/>
      </c>
      <c r="J27" s="136">
        <f>IFERROR(INDIRECT("'"&amp;G27&amp;"'!E28"),"")</f>
        <v/>
      </c>
      <c r="K27" s="137" t="n"/>
      <c r="L27" s="137" t="inlineStr">
        <is>
          <t>In curs</t>
        </is>
      </c>
      <c r="M27" s="138" t="n"/>
    </row>
    <row r="28" s="128">
      <c r="B28" s="132" t="n">
        <v>22</v>
      </c>
      <c r="C28" s="133" t="inlineStr">
        <is>
          <t>Flacon 20 comprimate masticabile + capac</t>
        </is>
      </c>
      <c r="D28" s="133" t="inlineStr">
        <is>
          <t>De confirmat</t>
        </is>
      </c>
      <c r="E28" s="133" t="inlineStr">
        <is>
          <t>Alb (flacon si capac, din poza)</t>
        </is>
      </c>
      <c r="F28" s="133" t="inlineStr">
        <is>
          <t>Vitamina C 180mg 20 comprimate masticabile</t>
        </is>
      </c>
      <c r="G28" s="132" t="n"/>
      <c r="H28" s="134">
        <f>IFERROR(INDIRECT("'"&amp;G28&amp;"'!E26"),"")</f>
        <v/>
      </c>
      <c r="I28" s="135">
        <f>IFERROR(INDIRECT("'"&amp;G28&amp;"'!E27"),"")</f>
        <v/>
      </c>
      <c r="J28" s="136">
        <f>IFERROR(INDIRECT("'"&amp;G28&amp;"'!E28"),"")</f>
        <v/>
      </c>
      <c r="K28" s="137" t="n"/>
      <c r="L28" s="137" t="inlineStr">
        <is>
          <t>In curs</t>
        </is>
      </c>
      <c r="M28" s="138" t="n"/>
    </row>
    <row r="29" s="128">
      <c r="B29" s="132" t="n">
        <v>23</v>
      </c>
      <c r="C29" s="133" t="inlineStr">
        <is>
          <t>Flacon 30 capsule vegetale + capac</t>
        </is>
      </c>
      <c r="D29" s="133" t="inlineStr">
        <is>
          <t>De confirmat</t>
        </is>
      </c>
      <c r="E29" s="133" t="inlineStr">
        <is>
          <t>Brun (flacon), maro (capac), din poza</t>
        </is>
      </c>
      <c r="F29" s="133" t="inlineStr">
        <is>
          <t>Ginkana Memorie 30 capsule vegetale; Ginseng siberian Pachet 30+30 capsule vegetale; Ginkana Circulație 30 capsule vegetale; Ginseng siberian 30 capsule vegetale; Ginkana Memorie 30+30 capsule vegetale; Masculin Potent 30 comprimate + Ginseng siberian 30 capsule vegetale</t>
        </is>
      </c>
      <c r="G29" s="132" t="n"/>
      <c r="H29" s="134">
        <f>IFERROR(INDIRECT("'"&amp;G29&amp;"'!E26"),"")</f>
        <v/>
      </c>
      <c r="I29" s="135">
        <f>IFERROR(INDIRECT("'"&amp;G29&amp;"'!E27"),"")</f>
        <v/>
      </c>
      <c r="J29" s="136">
        <f>IFERROR(INDIRECT("'"&amp;G29&amp;"'!E28"),"")</f>
        <v/>
      </c>
      <c r="K29" s="137" t="n"/>
      <c r="L29" s="137" t="inlineStr">
        <is>
          <t>In curs</t>
        </is>
      </c>
      <c r="M29" s="138" t="n"/>
    </row>
    <row r="30" s="128">
      <c r="B30" s="132" t="n">
        <v>24</v>
      </c>
      <c r="C30" s="133" t="inlineStr">
        <is>
          <t>Flacon 30 comprimate + capac</t>
        </is>
      </c>
      <c r="D30" s="133" t="inlineStr">
        <is>
          <t>De confirmat</t>
        </is>
      </c>
      <c r="E30" s="133" t="inlineStr">
        <is>
          <t>Brun (flacon), maro (capac), din poza</t>
        </is>
      </c>
      <c r="F30" s="133" t="inlineStr">
        <is>
          <t>Ginkana Ginkgo biloba 80mg forte Pachet 30+30 comprimate; Ginseng Pachet 30+30 comprimate; Ginkana Ginkgo biloba 40mg Pachet 30+30 comprimate; Spirulină 500mg Pachet 30+30 comprimate; Ginkana Ginkgo biloba 120mg Pachet 30+30 comprimate; Ginkana Ginkgo biloba 80mg forte 30 comprimate; Ginkana Ginkgo biloba 40mg 30 comprimate; Ginkana Ginkgo biloba 120mg 30 comprimate; Ginseng 30 comprimate; Spirulină 500mg 30 comprimate</t>
        </is>
      </c>
      <c r="G30" s="132" t="n"/>
      <c r="H30" s="134">
        <f>IFERROR(INDIRECT("'"&amp;G30&amp;"'!E26"),"")</f>
        <v/>
      </c>
      <c r="I30" s="135">
        <f>IFERROR(INDIRECT("'"&amp;G30&amp;"'!E27"),"")</f>
        <v/>
      </c>
      <c r="J30" s="136">
        <f>IFERROR(INDIRECT("'"&amp;G30&amp;"'!E28"),"")</f>
        <v/>
      </c>
      <c r="K30" s="137" t="n"/>
      <c r="L30" s="137" t="inlineStr">
        <is>
          <t>In curs</t>
        </is>
      </c>
      <c r="M30" s="138" t="n"/>
    </row>
    <row r="31" s="128">
      <c r="B31" s="132" t="n">
        <v>25</v>
      </c>
      <c r="C31" s="133" t="inlineStr">
        <is>
          <t>Flacon 1000 ml + capac</t>
        </is>
      </c>
      <c r="D31" s="133" t="inlineStr">
        <is>
          <t>1000 ml</t>
        </is>
      </c>
      <c r="E31" s="133" t="inlineStr">
        <is>
          <t>Alb (din poza)</t>
        </is>
      </c>
      <c r="F31" s="133" t="inlineStr">
        <is>
          <t>Suc de Noni Tahitian Bio 1000ml; Suc ecologic de Aloe Vera 1000ml</t>
        </is>
      </c>
      <c r="G31" s="132" t="n"/>
      <c r="H31" s="134">
        <f>IFERROR(INDIRECT("'"&amp;G31&amp;"'!E26"),"")</f>
        <v/>
      </c>
      <c r="I31" s="135">
        <f>IFERROR(INDIRECT("'"&amp;G31&amp;"'!E27"),"")</f>
        <v/>
      </c>
      <c r="J31" s="136">
        <f>IFERROR(INDIRECT("'"&amp;G31&amp;"'!E28"),"")</f>
        <v/>
      </c>
      <c r="K31" s="137" t="n"/>
      <c r="L31" s="137" t="inlineStr">
        <is>
          <t>In curs</t>
        </is>
      </c>
      <c r="M31" s="138" t="n"/>
    </row>
    <row r="32" s="128">
      <c r="B32" s="132" t="n">
        <v>26</v>
      </c>
      <c r="C32" s="133" t="inlineStr">
        <is>
          <t>Flacon 20 ml + spray (in cutie)</t>
        </is>
      </c>
      <c r="D32" s="133" t="inlineStr">
        <is>
          <t>20 ml</t>
        </is>
      </c>
      <c r="E32" s="133" t="inlineStr">
        <is>
          <t>De confirmat</t>
        </is>
      </c>
      <c r="F32" s="133" t="inlineStr">
        <is>
          <t>Propolis C-tare Spray 20ml</t>
        </is>
      </c>
      <c r="G32" s="132" t="n"/>
      <c r="H32" s="134">
        <f>IFERROR(INDIRECT("'"&amp;G32&amp;"'!E26"),"")</f>
        <v/>
      </c>
      <c r="I32" s="135">
        <f>IFERROR(INDIRECT("'"&amp;G32&amp;"'!E27"),"")</f>
        <v/>
      </c>
      <c r="J32" s="136">
        <f>IFERROR(INDIRECT("'"&amp;G32&amp;"'!E28"),"")</f>
        <v/>
      </c>
      <c r="K32" s="137" t="n"/>
      <c r="L32" s="137" t="inlineStr">
        <is>
          <t>In curs</t>
        </is>
      </c>
      <c r="M32" s="138" t="n"/>
    </row>
    <row r="33" s="128">
      <c r="B33" s="132" t="n">
        <v>27</v>
      </c>
      <c r="C33" s="133" t="inlineStr">
        <is>
          <t>Recipient pulbere 300 g + capac</t>
        </is>
      </c>
      <c r="D33" s="133" t="inlineStr">
        <is>
          <t>300 g</t>
        </is>
      </c>
      <c r="E33" s="133" t="inlineStr">
        <is>
          <t>Alb (din poza)</t>
        </is>
      </c>
      <c r="F33" s="133" t="inlineStr">
        <is>
          <t>Colagen Peptide 300g; Colagen Peptide cu Acid hialuronic și Vitamina C 300g</t>
        </is>
      </c>
      <c r="G33" s="132" t="n"/>
      <c r="H33" s="134">
        <f>IFERROR(INDIRECT("'"&amp;G33&amp;"'!E26"),"")</f>
        <v/>
      </c>
      <c r="I33" s="135">
        <f>IFERROR(INDIRECT("'"&amp;G33&amp;"'!E27"),"")</f>
        <v/>
      </c>
      <c r="J33" s="136">
        <f>IFERROR(INDIRECT("'"&amp;G33&amp;"'!E28"),"")</f>
        <v/>
      </c>
      <c r="K33" s="137" t="n"/>
      <c r="L33" s="137" t="inlineStr">
        <is>
          <t>In curs</t>
        </is>
      </c>
      <c r="M33" s="138" t="n"/>
    </row>
    <row r="34" s="128">
      <c r="B34" s="132" t="n">
        <v>28</v>
      </c>
      <c r="C34" s="133" t="inlineStr">
        <is>
          <t>Borcan 250 g + capac</t>
        </is>
      </c>
      <c r="D34" s="133" t="inlineStr">
        <is>
          <t>250 g / 250 ml</t>
        </is>
      </c>
      <c r="E34" s="133" t="inlineStr">
        <is>
          <t>Alb (borcan si capac, din poza)</t>
        </is>
      </c>
      <c r="F34" s="133" t="inlineStr">
        <is>
          <t>Picioare Obosite Cremă 250g; Balsam Vigoarea Ursului Polar 250g; Gheara Diavolului Balsam 250g; Cremă de Gălbenele 250g; Cremă de Arnică 250 ml; Balsam Puterea Calului cu chili 250g; Articlar Gel 250g; Puterea Calului Canabis Gel 250g; Gheara Diavolului Canabis Gel 250g</t>
        </is>
      </c>
      <c r="G34" s="132" t="n"/>
      <c r="H34" s="134">
        <f>IFERROR(INDIRECT("'"&amp;G34&amp;"'!E26"),"")</f>
        <v/>
      </c>
      <c r="I34" s="135">
        <f>IFERROR(INDIRECT("'"&amp;G34&amp;"'!E27"),"")</f>
        <v/>
      </c>
      <c r="J34" s="136">
        <f>IFERROR(INDIRECT("'"&amp;G34&amp;"'!E28"),"")</f>
        <v/>
      </c>
      <c r="K34" s="137" t="n"/>
      <c r="L34" s="137" t="inlineStr">
        <is>
          <t>In curs</t>
        </is>
      </c>
      <c r="M34" s="138" t="n"/>
    </row>
    <row r="35" s="128">
      <c r="B35" s="132" t="n">
        <v>29</v>
      </c>
      <c r="C35" s="133" t="inlineStr">
        <is>
          <t>Recipient pulbere 140 g + capac</t>
        </is>
      </c>
      <c r="D35" s="133" t="inlineStr">
        <is>
          <t>140 g</t>
        </is>
      </c>
      <c r="E35" s="133" t="inlineStr">
        <is>
          <t>Alb (din poza)</t>
        </is>
      </c>
      <c r="F35" s="133" t="inlineStr">
        <is>
          <t>Inulină 140g</t>
        </is>
      </c>
      <c r="G35" s="132" t="n"/>
      <c r="H35" s="134">
        <f>IFERROR(INDIRECT("'"&amp;G35&amp;"'!E26"),"")</f>
        <v/>
      </c>
      <c r="I35" s="135">
        <f>IFERROR(INDIRECT("'"&amp;G35&amp;"'!E27"),"")</f>
        <v/>
      </c>
      <c r="J35" s="136">
        <f>IFERROR(INDIRECT("'"&amp;G35&amp;"'!E28"),"")</f>
        <v/>
      </c>
      <c r="K35" s="137" t="n"/>
      <c r="L35" s="137" t="inlineStr">
        <is>
          <t>In curs</t>
        </is>
      </c>
      <c r="M35" s="138" t="n"/>
    </row>
    <row r="36" s="128">
      <c r="B36" s="132" t="n">
        <v>30</v>
      </c>
      <c r="C36" s="133" t="inlineStr">
        <is>
          <t>Borcan 20 g + capac</t>
        </is>
      </c>
      <c r="D36" s="133" t="inlineStr">
        <is>
          <t>20 g</t>
        </is>
      </c>
      <c r="E36" s="133" t="inlineStr">
        <is>
          <t>Alb (din poza)</t>
        </is>
      </c>
      <c r="F36" s="133" t="inlineStr">
        <is>
          <t>Balsam Gălbenele și Tătăneasă 20g; Alifie chinezească 20g; Balsam Propolis 20g; Balsam călcâie 20g; Balsam Rostopască 20g; Balsam Gălbenele 20g; Balsam Arnică 20g; Balsam Tătăneasă 20g</t>
        </is>
      </c>
      <c r="G36" s="132" t="n"/>
      <c r="H36" s="134">
        <f>IFERROR(INDIRECT("'"&amp;G36&amp;"'!E26"),"")</f>
        <v/>
      </c>
      <c r="I36" s="135">
        <f>IFERROR(INDIRECT("'"&amp;G36&amp;"'!E27"),"")</f>
        <v/>
      </c>
      <c r="J36" s="136">
        <f>IFERROR(INDIRECT("'"&amp;G36&amp;"'!E28"),"")</f>
        <v/>
      </c>
      <c r="K36" s="137" t="n"/>
      <c r="L36" s="137" t="inlineStr">
        <is>
          <t>In curs</t>
        </is>
      </c>
      <c r="M36" s="138" t="n"/>
    </row>
    <row r="37" s="128">
      <c r="B37" s="132" t="n">
        <v>31</v>
      </c>
      <c r="C37" s="133" t="inlineStr">
        <is>
          <t>Tub 200 ml + capac</t>
        </is>
      </c>
      <c r="D37" s="133" t="inlineStr">
        <is>
          <t>200 ml</t>
        </is>
      </c>
      <c r="E37" s="133" t="inlineStr">
        <is>
          <t>Alb (din poza)</t>
        </is>
      </c>
      <c r="F37" s="133" t="inlineStr">
        <is>
          <t>Gel anticelulitic 200ml</t>
        </is>
      </c>
      <c r="G37" s="132" t="n"/>
      <c r="H37" s="134">
        <f>IFERROR(INDIRECT("'"&amp;G37&amp;"'!E26"),"")</f>
        <v/>
      </c>
      <c r="I37" s="135">
        <f>IFERROR(INDIRECT("'"&amp;G37&amp;"'!E27"),"")</f>
        <v/>
      </c>
      <c r="J37" s="136">
        <f>IFERROR(INDIRECT("'"&amp;G37&amp;"'!E28"),"")</f>
        <v/>
      </c>
      <c r="K37" s="137" t="n"/>
      <c r="L37" s="137" t="inlineStr">
        <is>
          <t>In curs</t>
        </is>
      </c>
      <c r="M37" s="138" t="n"/>
    </row>
    <row r="38" s="128">
      <c r="B38" s="132" t="n">
        <v>32</v>
      </c>
      <c r="C38" s="133" t="inlineStr">
        <is>
          <t>Tub 150 ml + capac</t>
        </is>
      </c>
      <c r="D38" s="133" t="inlineStr">
        <is>
          <t>150 ml</t>
        </is>
      </c>
      <c r="E38" s="133" t="inlineStr">
        <is>
          <t>Alb (din poza)</t>
        </is>
      </c>
      <c r="F38" s="133" t="inlineStr">
        <is>
          <t>Cremă antivergeturi 150ml</t>
        </is>
      </c>
      <c r="G38" s="132" t="n"/>
      <c r="H38" s="134">
        <f>IFERROR(INDIRECT("'"&amp;G38&amp;"'!E26"),"")</f>
        <v/>
      </c>
      <c r="I38" s="135">
        <f>IFERROR(INDIRECT("'"&amp;G38&amp;"'!E27"),"")</f>
        <v/>
      </c>
      <c r="J38" s="136">
        <f>IFERROR(INDIRECT("'"&amp;G38&amp;"'!E28"),"")</f>
        <v/>
      </c>
      <c r="K38" s="137" t="n"/>
      <c r="L38" s="137" t="inlineStr">
        <is>
          <t>In curs</t>
        </is>
      </c>
      <c r="M38" s="138" t="n"/>
    </row>
    <row r="39" s="128">
      <c r="B39" s="132" t="n">
        <v>33</v>
      </c>
      <c r="C39" s="133" t="inlineStr">
        <is>
          <t>Tub 50 ml + capac</t>
        </is>
      </c>
      <c r="D39" s="133" t="inlineStr">
        <is>
          <t>50 ml</t>
        </is>
      </c>
      <c r="E39" s="133" t="inlineStr">
        <is>
          <t>Alb (din poza)</t>
        </is>
      </c>
      <c r="F39" s="133" t="inlineStr">
        <is>
          <t>Gel înțepături insecte 50ml; Articlar Gel 50ml; Cremă de mâini cu Gălbenele și Aloe vera 50ml; Crema cu uree 15% 50ml</t>
        </is>
      </c>
      <c r="G39" s="132" t="n"/>
      <c r="H39" s="134">
        <f>IFERROR(INDIRECT("'"&amp;G39&amp;"'!E26"),"")</f>
        <v/>
      </c>
      <c r="I39" s="135">
        <f>IFERROR(INDIRECT("'"&amp;G39&amp;"'!E27"),"")</f>
        <v/>
      </c>
      <c r="J39" s="136">
        <f>IFERROR(INDIRECT("'"&amp;G39&amp;"'!E28"),"")</f>
        <v/>
      </c>
      <c r="K39" s="137" t="n"/>
      <c r="L39" s="137" t="inlineStr">
        <is>
          <t>In curs</t>
        </is>
      </c>
      <c r="M39" s="138" t="n"/>
    </row>
    <row r="40" s="128">
      <c r="B40" s="132" t="n">
        <v>34</v>
      </c>
      <c r="C40" s="133" t="inlineStr">
        <is>
          <t>Tub 20 ml + capac</t>
        </is>
      </c>
      <c r="D40" s="133" t="inlineStr">
        <is>
          <t>20 ml</t>
        </is>
      </c>
      <c r="E40" s="133" t="inlineStr">
        <is>
          <t>Alb (din poza)</t>
        </is>
      </c>
      <c r="F40" s="133" t="inlineStr">
        <is>
          <t>Gel bătături 20ml; Cremă Antiacneică 20 ml</t>
        </is>
      </c>
      <c r="G40" s="132" t="n"/>
      <c r="H40" s="134">
        <f>IFERROR(INDIRECT("'"&amp;G40&amp;"'!E26"),"")</f>
        <v/>
      </c>
      <c r="I40" s="135">
        <f>IFERROR(INDIRECT("'"&amp;G40&amp;"'!E27"),"")</f>
        <v/>
      </c>
      <c r="J40" s="136">
        <f>IFERROR(INDIRECT("'"&amp;G40&amp;"'!E28"),"")</f>
        <v/>
      </c>
      <c r="K40" s="137" t="n"/>
      <c r="L40" s="137" t="inlineStr">
        <is>
          <t>In curs</t>
        </is>
      </c>
      <c r="M40" s="138" t="n"/>
    </row>
    <row r="41" s="128">
      <c r="B41" s="132" t="n">
        <v>35</v>
      </c>
      <c r="C41" s="133" t="inlineStr">
        <is>
          <t>Punga 1 kg</t>
        </is>
      </c>
      <c r="D41" s="133" t="inlineStr">
        <is>
          <t>1 kg</t>
        </is>
      </c>
      <c r="E41" s="133" t="inlineStr">
        <is>
          <t>Transparenta + eticheta (din poza)</t>
        </is>
      </c>
      <c r="F41" s="133" t="inlineStr">
        <is>
          <t>Seminte de In 1kg; Merișor 1kg; Semințe de Chia 1kg; Omega Mix 1kg; Vitamin Mix Merișor și Goji 1kg; Goji 1kg</t>
        </is>
      </c>
      <c r="G41" s="132" t="n"/>
      <c r="H41" s="134">
        <f>IFERROR(INDIRECT("'"&amp;G41&amp;"'!E26"),"")</f>
        <v/>
      </c>
      <c r="I41" s="135">
        <f>IFERROR(INDIRECT("'"&amp;G41&amp;"'!E27"),"")</f>
        <v/>
      </c>
      <c r="J41" s="136">
        <f>IFERROR(INDIRECT("'"&amp;G41&amp;"'!E28"),"")</f>
        <v/>
      </c>
      <c r="K41" s="137" t="n"/>
      <c r="L41" s="137" t="inlineStr">
        <is>
          <t>In curs</t>
        </is>
      </c>
      <c r="M41" s="138" t="n"/>
    </row>
    <row r="42" s="128">
      <c r="B42" s="132" t="n">
        <v>36</v>
      </c>
      <c r="C42" s="133" t="inlineStr">
        <is>
          <t>Punga 500 g</t>
        </is>
      </c>
      <c r="D42" s="133" t="inlineStr">
        <is>
          <t>500 g</t>
        </is>
      </c>
      <c r="E42" s="133" t="inlineStr">
        <is>
          <t>Transparenta + eticheta (din poza)</t>
        </is>
      </c>
      <c r="F42" s="133" t="inlineStr">
        <is>
          <t>Seminte de Chia 500g; Fulgi de Ovăz 500g; Musli cereale și fructe uscate 500g; Sare roz de Himalaya Cristale neiodată 500g; Musli mix 500g; Seminte de In 500g; Fulgi de Porumb 500g; Fulgi de Porumb fără zahăr 500g; Omega Mix 500g; Fulgi de Secară 500g; Fulgi de Grâu 500g; Vitamin Mix Merisor și Goji 500g; Goji 500g; Năut 500g; Merișor 500g; Fulgi de Orz 500g</t>
        </is>
      </c>
      <c r="G42" s="132" t="n"/>
      <c r="H42" s="134">
        <f>IFERROR(INDIRECT("'"&amp;G42&amp;"'!E26"),"")</f>
        <v/>
      </c>
      <c r="I42" s="135">
        <f>IFERROR(INDIRECT("'"&amp;G42&amp;"'!E27"),"")</f>
        <v/>
      </c>
      <c r="J42" s="136">
        <f>IFERROR(INDIRECT("'"&amp;G42&amp;"'!E28"),"")</f>
        <v/>
      </c>
      <c r="K42" s="137" t="n"/>
      <c r="L42" s="137" t="inlineStr">
        <is>
          <t>In curs</t>
        </is>
      </c>
      <c r="M42" s="138" t="n"/>
    </row>
    <row r="43" s="128">
      <c r="B43" s="132" t="n">
        <v>37</v>
      </c>
      <c r="C43" s="133" t="inlineStr">
        <is>
          <t>Punga 250 g</t>
        </is>
      </c>
      <c r="D43" s="133" t="inlineStr">
        <is>
          <t>250 g</t>
        </is>
      </c>
      <c r="E43" s="133" t="inlineStr">
        <is>
          <t>Transparenta + eticheta (din poza)</t>
        </is>
      </c>
      <c r="F43" s="133" t="inlineStr">
        <is>
          <t>Seminte Crude de Floarea Soarelui 250g; Migdale crude 250 g; Tărâțe de Psyllium 250g; Caju crud 250g; Merișor 250g; Semințe crude de Dovleac 250g; Goji 250g</t>
        </is>
      </c>
      <c r="G43" s="132" t="n"/>
      <c r="H43" s="134">
        <f>IFERROR(INDIRECT("'"&amp;G43&amp;"'!E26"),"")</f>
        <v/>
      </c>
      <c r="I43" s="135">
        <f>IFERROR(INDIRECT("'"&amp;G43&amp;"'!E27"),"")</f>
        <v/>
      </c>
      <c r="J43" s="136">
        <f>IFERROR(INDIRECT("'"&amp;G43&amp;"'!E28"),"")</f>
        <v/>
      </c>
      <c r="K43" s="137" t="n"/>
      <c r="L43" s="137" t="inlineStr">
        <is>
          <t>In curs</t>
        </is>
      </c>
      <c r="M43" s="138" t="n"/>
    </row>
    <row r="44" s="128">
      <c r="B44" s="132" t="n">
        <v>38</v>
      </c>
      <c r="C44" s="133" t="inlineStr">
        <is>
          <t>Punga 160 g</t>
        </is>
      </c>
      <c r="D44" s="133" t="inlineStr">
        <is>
          <t>160 g</t>
        </is>
      </c>
      <c r="E44" s="133" t="inlineStr">
        <is>
          <t>Transparenta + eticheta (din poza)</t>
        </is>
      </c>
      <c r="F44" s="133" t="inlineStr">
        <is>
          <t>Seminte Crude de Floarea Soarelui 160g</t>
        </is>
      </c>
      <c r="G44" s="132" t="n"/>
      <c r="H44" s="134">
        <f>IFERROR(INDIRECT("'"&amp;G44&amp;"'!E26"),"")</f>
        <v/>
      </c>
      <c r="I44" s="135">
        <f>IFERROR(INDIRECT("'"&amp;G44&amp;"'!E27"),"")</f>
        <v/>
      </c>
      <c r="J44" s="136">
        <f>IFERROR(INDIRECT("'"&amp;G44&amp;"'!E28"),"")</f>
        <v/>
      </c>
      <c r="K44" s="137" t="n"/>
      <c r="L44" s="137" t="inlineStr">
        <is>
          <t>In curs</t>
        </is>
      </c>
      <c r="M44" s="138" t="n"/>
    </row>
    <row r="45" s="128">
      <c r="B45" s="132" t="n">
        <v>39</v>
      </c>
      <c r="C45" s="133" t="inlineStr">
        <is>
          <t>Punga 150 g</t>
        </is>
      </c>
      <c r="D45" s="133" t="inlineStr">
        <is>
          <t>150 g</t>
        </is>
      </c>
      <c r="E45" s="133" t="inlineStr">
        <is>
          <t>Transparenta + eticheta (din poza)</t>
        </is>
      </c>
      <c r="F45" s="133" t="inlineStr">
        <is>
          <t>Mix Semințe de Floarea Soarelui și Dovleac 150g; Semințe crude de Dovleac 150g; Arahide crude 150g</t>
        </is>
      </c>
      <c r="G45" s="132" t="n"/>
      <c r="H45" s="134">
        <f>IFERROR(INDIRECT("'"&amp;G45&amp;"'!E26"),"")</f>
        <v/>
      </c>
      <c r="I45" s="135">
        <f>IFERROR(INDIRECT("'"&amp;G45&amp;"'!E27"),"")</f>
        <v/>
      </c>
      <c r="J45" s="136">
        <f>IFERROR(INDIRECT("'"&amp;G45&amp;"'!E28"),"")</f>
        <v/>
      </c>
      <c r="K45" s="137" t="n"/>
      <c r="L45" s="137" t="inlineStr">
        <is>
          <t>In curs</t>
        </is>
      </c>
      <c r="M45" s="138" t="n"/>
    </row>
    <row r="46" s="128">
      <c r="B46" s="132" t="n">
        <v>40</v>
      </c>
      <c r="C46" s="133" t="inlineStr">
        <is>
          <t>Punga 140 g</t>
        </is>
      </c>
      <c r="D46" s="133" t="inlineStr">
        <is>
          <t>140 g</t>
        </is>
      </c>
      <c r="E46" s="133" t="inlineStr">
        <is>
          <t>Transparenta + eticheta (din poza)</t>
        </is>
      </c>
      <c r="F46" s="133" t="inlineStr">
        <is>
          <t>Migdale crude 140 g</t>
        </is>
      </c>
      <c r="G46" s="132" t="n"/>
      <c r="H46" s="134">
        <f>IFERROR(INDIRECT("'"&amp;G46&amp;"'!E26"),"")</f>
        <v/>
      </c>
      <c r="I46" s="135">
        <f>IFERROR(INDIRECT("'"&amp;G46&amp;"'!E27"),"")</f>
        <v/>
      </c>
      <c r="J46" s="136">
        <f>IFERROR(INDIRECT("'"&amp;G46&amp;"'!E28"),"")</f>
        <v/>
      </c>
      <c r="K46" s="137" t="n"/>
      <c r="L46" s="137" t="inlineStr">
        <is>
          <t>In curs</t>
        </is>
      </c>
      <c r="M46" s="138" t="n"/>
    </row>
    <row r="47" s="128">
      <c r="B47" s="132" t="n">
        <v>41</v>
      </c>
      <c r="C47" s="133" t="inlineStr">
        <is>
          <t>Punga 130 g</t>
        </is>
      </c>
      <c r="D47" s="133" t="inlineStr">
        <is>
          <t>130 g</t>
        </is>
      </c>
      <c r="E47" s="133" t="inlineStr">
        <is>
          <t>Transparenta + eticheta (din poza)</t>
        </is>
      </c>
      <c r="F47" s="133" t="inlineStr">
        <is>
          <t>Semințe de In 130g; Omega Mix 130g; Stafide brune 130g; Mix Caju și Migdale 130g; Mix Fructe uscate și Nuci 130g; Fistic crud 130g</t>
        </is>
      </c>
      <c r="G47" s="132" t="n"/>
      <c r="H47" s="134">
        <f>IFERROR(INDIRECT("'"&amp;G47&amp;"'!E26"),"")</f>
        <v/>
      </c>
      <c r="I47" s="135">
        <f>IFERROR(INDIRECT("'"&amp;G47&amp;"'!E27"),"")</f>
        <v/>
      </c>
      <c r="J47" s="136">
        <f>IFERROR(INDIRECT("'"&amp;G47&amp;"'!E28"),"")</f>
        <v/>
      </c>
      <c r="K47" s="137" t="n"/>
      <c r="L47" s="137" t="inlineStr">
        <is>
          <t>In curs</t>
        </is>
      </c>
      <c r="M47" s="138" t="n"/>
    </row>
    <row r="48" s="128">
      <c r="B48" s="132" t="n">
        <v>42</v>
      </c>
      <c r="C48" s="133" t="inlineStr">
        <is>
          <t>Punga 110 g</t>
        </is>
      </c>
      <c r="D48" s="133" t="inlineStr">
        <is>
          <t>110 g</t>
        </is>
      </c>
      <c r="E48" s="133" t="inlineStr">
        <is>
          <t>Transparenta + eticheta (din poza)</t>
        </is>
      </c>
      <c r="F48" s="133" t="inlineStr">
        <is>
          <t>Caju crud 110g; Merișor 110g; Vitamin Mix Merișor și Goji 110g</t>
        </is>
      </c>
      <c r="G48" s="132" t="n"/>
      <c r="H48" s="134">
        <f>IFERROR(INDIRECT("'"&amp;G48&amp;"'!E26"),"")</f>
        <v/>
      </c>
      <c r="I48" s="135">
        <f>IFERROR(INDIRECT("'"&amp;G48&amp;"'!E27"),"")</f>
        <v/>
      </c>
      <c r="J48" s="136">
        <f>IFERROR(INDIRECT("'"&amp;G48&amp;"'!E28"),"")</f>
        <v/>
      </c>
      <c r="K48" s="137" t="n"/>
      <c r="L48" s="137" t="inlineStr">
        <is>
          <t>In curs</t>
        </is>
      </c>
      <c r="M48" s="138" t="n"/>
    </row>
    <row r="49" s="128">
      <c r="B49" s="132" t="n">
        <v>43</v>
      </c>
      <c r="C49" s="133" t="inlineStr">
        <is>
          <t>Punga 100 g</t>
        </is>
      </c>
      <c r="D49" s="133" t="inlineStr">
        <is>
          <t>100 g</t>
        </is>
      </c>
      <c r="E49" s="133" t="inlineStr">
        <is>
          <t>Transparenta + eticheta (din poza)</t>
        </is>
      </c>
      <c r="F49" s="133" t="inlineStr">
        <is>
          <t>Semințe de Chia 100g; Semințe de Susan 100g; Goji 100g</t>
        </is>
      </c>
      <c r="G49" s="132" t="n"/>
      <c r="H49" s="134">
        <f>IFERROR(INDIRECT("'"&amp;G49&amp;"'!E26"),"")</f>
        <v/>
      </c>
      <c r="I49" s="135">
        <f>IFERROR(INDIRECT("'"&amp;G49&amp;"'!E27"),"")</f>
        <v/>
      </c>
      <c r="J49" s="136">
        <f>IFERROR(INDIRECT("'"&amp;G49&amp;"'!E28"),"")</f>
        <v/>
      </c>
      <c r="K49" s="137" t="n"/>
      <c r="L49" s="137" t="inlineStr">
        <is>
          <t>In curs</t>
        </is>
      </c>
      <c r="M49" s="138" t="n"/>
    </row>
    <row r="50" s="128">
      <c r="B50" s="132" t="n">
        <v>44</v>
      </c>
      <c r="C50" s="133" t="inlineStr">
        <is>
          <t>Punga 85 g</t>
        </is>
      </c>
      <c r="D50" s="133" t="inlineStr">
        <is>
          <t>85 g</t>
        </is>
      </c>
      <c r="E50" s="133" t="inlineStr">
        <is>
          <t>Transparenta + eticheta (din poza)</t>
        </is>
      </c>
      <c r="F50" s="133" t="inlineStr">
        <is>
          <t>Alune de pădure 85g</t>
        </is>
      </c>
      <c r="G50" s="132" t="n"/>
      <c r="H50" s="134">
        <f>IFERROR(INDIRECT("'"&amp;G50&amp;"'!E26"),"")</f>
        <v/>
      </c>
      <c r="I50" s="135">
        <f>IFERROR(INDIRECT("'"&amp;G50&amp;"'!E27"),"")</f>
        <v/>
      </c>
      <c r="J50" s="136">
        <f>IFERROR(INDIRECT("'"&amp;G50&amp;"'!E28"),"")</f>
        <v/>
      </c>
      <c r="K50" s="137" t="n"/>
      <c r="L50" s="137" t="inlineStr">
        <is>
          <t>In curs</t>
        </is>
      </c>
      <c r="M50" s="138" t="n"/>
    </row>
    <row r="51" s="128">
      <c r="B51" s="132" t="n">
        <v>45</v>
      </c>
      <c r="C51" s="133" t="inlineStr">
        <is>
          <t>Punga ceai 35 g</t>
        </is>
      </c>
      <c r="D51" s="133" t="inlineStr">
        <is>
          <t>35 g</t>
        </is>
      </c>
      <c r="E51" s="133" t="inlineStr">
        <is>
          <t>De confirmat</t>
        </is>
      </c>
      <c r="F51" s="133" t="inlineStr">
        <is>
          <t>Ceai Rooibos cu vanilie 35g; Ceai Fructe de pădure cu scorțișoară 35g</t>
        </is>
      </c>
      <c r="G51" s="132" t="n"/>
      <c r="H51" s="134">
        <f>IFERROR(INDIRECT("'"&amp;G51&amp;"'!E26"),"")</f>
        <v/>
      </c>
      <c r="I51" s="135">
        <f>IFERROR(INDIRECT("'"&amp;G51&amp;"'!E27"),"")</f>
        <v/>
      </c>
      <c r="J51" s="136">
        <f>IFERROR(INDIRECT("'"&amp;G51&amp;"'!E28"),"")</f>
        <v/>
      </c>
      <c r="K51" s="137" t="n"/>
      <c r="L51" s="137" t="inlineStr">
        <is>
          <t>In curs</t>
        </is>
      </c>
      <c r="M51" s="138" t="n"/>
    </row>
    <row r="52" s="128">
      <c r="B52" s="132" t="n">
        <v>46</v>
      </c>
      <c r="C52" s="133" t="inlineStr">
        <is>
          <t>Rasnita 200 g (recipient + mecanism de macinare)</t>
        </is>
      </c>
      <c r="D52" s="133" t="inlineStr">
        <is>
          <t>200 g</t>
        </is>
      </c>
      <c r="E52" s="133" t="inlineStr">
        <is>
          <t>Transparent (recipient), negru (rasnita), din poza</t>
        </is>
      </c>
      <c r="F52" s="133" t="inlineStr">
        <is>
          <t>Sare roz de Himalaya Neiodată Râșniță 200g</t>
        </is>
      </c>
      <c r="G52" s="132" t="n"/>
      <c r="H52" s="134">
        <f>IFERROR(INDIRECT("'"&amp;G52&amp;"'!E26"),"")</f>
        <v/>
      </c>
      <c r="I52" s="135">
        <f>IFERROR(INDIRECT("'"&amp;G52&amp;"'!E27"),"")</f>
        <v/>
      </c>
      <c r="J52" s="136">
        <f>IFERROR(INDIRECT("'"&amp;G52&amp;"'!E28"),"")</f>
        <v/>
      </c>
      <c r="K52" s="137" t="n"/>
      <c r="L52" s="137" t="inlineStr">
        <is>
          <t>In curs</t>
        </is>
      </c>
      <c r="M52" s="138" t="n"/>
    </row>
    <row r="53"/>
    <row r="54"/>
    <row r="55" ht="19.95" customHeight="1" s="128">
      <c r="C55" s="76" t="inlineStr">
        <is>
          <t>Rezumat (automat)</t>
        </is>
      </c>
      <c r="D55" s="73" t="inlineStr">
        <is>
          <t>Nr. unitati</t>
        </is>
      </c>
    </row>
    <row r="56" ht="19.95" customHeight="1" s="128">
      <c r="C56" s="74" t="inlineStr">
        <is>
          <t>Unitati analizate</t>
        </is>
      </c>
      <c r="D56" s="75">
        <f>COUNTIF(G7:G52,"?*")</f>
        <v/>
      </c>
    </row>
    <row r="57" ht="19.95" customHeight="1" s="128">
      <c r="C57" s="74" t="inlineStr">
        <is>
          <t>A</t>
        </is>
      </c>
      <c r="D57" s="75">
        <f>COUNTIF($J$7:$J$52,C57)</f>
        <v/>
      </c>
    </row>
    <row r="58" ht="19.95" customHeight="1" s="128">
      <c r="C58" s="74" t="inlineStr">
        <is>
          <t>B</t>
        </is>
      </c>
      <c r="D58" s="75">
        <f>COUNTIF($J$7:$J$52,C58)</f>
        <v/>
      </c>
    </row>
    <row r="59" ht="19.95" customHeight="1" s="128">
      <c r="C59" s="74" t="inlineStr">
        <is>
          <t>C</t>
        </is>
      </c>
      <c r="D59" s="75">
        <f>COUNTIF($J$7:$J$52,C59)</f>
        <v/>
      </c>
    </row>
    <row r="60" ht="19.95" customHeight="1" s="128">
      <c r="C60" s="74" t="inlineStr">
        <is>
          <t>Sub 70% - nereciclabil</t>
        </is>
      </c>
      <c r="D60" s="75">
        <f>COUNTIF($J$7:$J$52,C60)</f>
        <v/>
      </c>
    </row>
  </sheetData>
  <mergeCells count="2">
    <mergeCell ref="B4:K4"/>
    <mergeCell ref="B2:K2"/>
  </mergeCells>
  <conditionalFormatting sqref="G7:G52">
    <cfRule type="expression" priority="4" dxfId="3">
      <formula>AND($G7&lt;&gt;"",$H7="")</formula>
    </cfRule>
  </conditionalFormatting>
  <conditionalFormatting sqref="J7:J52">
    <cfRule type="expression" priority="1" dxfId="2">
      <formula>OR($J7="A",$J7="B")</formula>
    </cfRule>
    <cfRule type="expression" priority="2" dxfId="1">
      <formula>$J7="C"</formula>
    </cfRule>
    <cfRule type="expression" priority="3" dxfId="0">
      <formula>LEFT($J7,3)="Sub"</formula>
    </cfRule>
  </conditionalFormatting>
  <dataValidations count="2">
    <dataValidation sqref="K7:K52" showDropDown="0" showInputMessage="1" showErrorMessage="1" allowBlank="1" errorTitle="Prioritate" error="Alegeti: Mare, Medie sau Mica." type="list">
      <formula1>"Mare,Medie,Mica"</formula1>
    </dataValidation>
    <dataValidation sqref="L7:L52" showDropDown="0" showInputMessage="1" showErrorMessage="1" allowBlank="1" errorTitle="Stadiu analiza" error="Valoarea nu este in lista. Puteti continua daca este intentionat." type="list" errorStyle="information">
      <formula1>"Identificata,In completare,Completa,Oferta trimisa"</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N78"/>
  <sheetViews>
    <sheetView showGridLines="0" zoomScaleNormal="100" workbookViewId="0">
      <selection activeCell="B5" sqref="B5"/>
    </sheetView>
  </sheetViews>
  <sheetFormatPr baseColWidth="8" defaultColWidth="8.6640625" defaultRowHeight="14.4"/>
  <cols>
    <col width="3" customWidth="1" style="128" min="1" max="1"/>
    <col width="38.88671875" customWidth="1" style="128" min="2" max="2"/>
    <col width="18.5546875" customWidth="1" style="128" min="3" max="3"/>
    <col width="15.77734375" customWidth="1" style="128" min="4" max="4"/>
    <col width="11.44140625" customWidth="1" style="128" min="5" max="5"/>
    <col width="13" customWidth="1" style="128" min="6" max="6"/>
    <col width="12.5546875" customWidth="1" style="128" min="7" max="7"/>
    <col width="13.33203125" customWidth="1" style="128" min="8" max="8"/>
    <col width="15.77734375" customWidth="1" style="128" min="9" max="9"/>
    <col width="14.77734375" customWidth="1" style="128" min="10" max="10"/>
    <col width="17.5546875" customWidth="1" style="128" min="11" max="11"/>
    <col width="27.77734375" customWidth="1" style="128" min="12" max="12"/>
    <col width="11.109375" customWidth="1" style="128" min="13" max="13"/>
    <col width="25.88671875" customWidth="1" style="128" min="14" max="14"/>
    <col width="3" customWidth="1" style="128" min="15" max="15"/>
  </cols>
  <sheetData>
    <row r="1" ht="15" customHeight="1" s="128"/>
    <row r="2" ht="27.75" customHeight="1" s="128">
      <c r="B2" s="129" t="inlineStr">
        <is>
          <t>Fisa de analiza — unitate de ambalaj</t>
        </is>
      </c>
      <c r="C2" s="129" t="n"/>
      <c r="D2" s="129" t="n"/>
      <c r="E2" s="34" t="n"/>
      <c r="F2" s="34" t="n"/>
      <c r="G2" s="34" t="n"/>
      <c r="H2" s="34" t="n"/>
      <c r="I2" s="34" t="n"/>
      <c r="J2" s="34" t="n"/>
      <c r="K2" s="34" t="n"/>
      <c r="L2" s="34" t="n"/>
    </row>
    <row r="3" ht="19.5" customHeight="1" s="128">
      <c r="B3" s="35" t="inlineStr">
        <is>
          <t>1. Identificare unitate de ambalaj</t>
        </is>
      </c>
      <c r="C3" s="35" t="n"/>
      <c r="D3" s="35" t="n"/>
      <c r="E3" s="36" t="n"/>
      <c r="F3" s="36" t="n"/>
      <c r="G3" s="36" t="n"/>
      <c r="H3" s="36" t="n"/>
      <c r="I3" s="36" t="n"/>
      <c r="J3" s="36" t="n"/>
      <c r="K3" s="36" t="n"/>
      <c r="L3" s="36" t="n"/>
      <c r="M3" s="51" t="n"/>
      <c r="N3" s="51" t="n"/>
    </row>
    <row r="4" ht="31.95" customHeight="1" s="128">
      <c r="B4" s="52" t="inlineStr">
        <is>
          <t>Denumire unitate (pe baza componentelor)</t>
        </is>
      </c>
      <c r="C4" s="139" t="n"/>
      <c r="D4" s="140" t="n"/>
      <c r="E4" s="140" t="n"/>
      <c r="F4" s="140" t="n"/>
      <c r="G4" s="140" t="n"/>
      <c r="H4" s="140" t="n"/>
      <c r="I4" s="140" t="n"/>
      <c r="J4" s="140" t="n"/>
      <c r="K4" s="140" t="n"/>
      <c r="L4" s="141" t="n"/>
      <c r="M4" s="55" t="n"/>
      <c r="N4" s="55" t="n"/>
    </row>
    <row r="5" ht="31.95" customHeight="1" s="128">
      <c r="B5" s="52" t="inlineStr">
        <is>
          <t>Furnizor/configuratie de referinta (daca exista)</t>
        </is>
      </c>
      <c r="C5" s="142" t="n"/>
      <c r="D5" s="143" t="n"/>
      <c r="E5" s="143" t="n"/>
      <c r="F5" s="143" t="n"/>
      <c r="G5" s="143" t="n"/>
      <c r="H5" s="143" t="n"/>
      <c r="I5" s="143" t="n"/>
      <c r="J5" s="143" t="n"/>
      <c r="K5" s="143" t="n"/>
      <c r="L5" s="144" t="n"/>
      <c r="M5" s="55" t="n"/>
      <c r="N5" s="55" t="n"/>
    </row>
    <row r="6" ht="30" customHeight="1" s="128">
      <c r="B6" s="52" t="inlineStr">
        <is>
          <t>Capacitate nominala (ml / g)</t>
        </is>
      </c>
      <c r="C6" s="145" t="n"/>
      <c r="D6" s="143" t="n"/>
      <c r="E6" s="143" t="n"/>
      <c r="F6" s="143" t="n"/>
      <c r="G6" s="143" t="n"/>
      <c r="H6" s="143" t="n"/>
      <c r="I6" s="143" t="n"/>
      <c r="J6" s="143" t="n"/>
      <c r="K6" s="143" t="n"/>
      <c r="L6" s="144" t="n"/>
      <c r="M6" s="55" t="n"/>
      <c r="N6" s="55" t="n"/>
    </row>
    <row r="7" ht="34.05" customHeight="1" s="128">
      <c r="B7" s="52" t="inlineStr">
        <is>
          <t>Dimensiuni principale (diametru x inaltime, mm)</t>
        </is>
      </c>
      <c r="C7" s="145" t="n"/>
      <c r="D7" s="143" t="n"/>
      <c r="E7" s="143" t="n"/>
      <c r="F7" s="143" t="n"/>
      <c r="G7" s="143" t="n"/>
      <c r="H7" s="143" t="n"/>
      <c r="I7" s="143" t="n"/>
      <c r="J7" s="143" t="n"/>
      <c r="K7" s="143" t="n"/>
      <c r="L7" s="144" t="n"/>
      <c r="M7" s="55" t="n"/>
      <c r="N7" s="55" t="n"/>
    </row>
    <row r="8" ht="34.05" customHeight="1" s="128">
      <c r="B8" s="52" t="inlineStr">
        <is>
          <t>Documente disponibile (fisa tehnica, desen, poze, declaratii)</t>
        </is>
      </c>
      <c r="C8" s="145" t="n"/>
      <c r="D8" s="143" t="n"/>
      <c r="E8" s="143" t="n"/>
      <c r="F8" s="143" t="n"/>
      <c r="G8" s="143" t="n"/>
      <c r="H8" s="143" t="n"/>
      <c r="I8" s="143" t="n"/>
      <c r="J8" s="143" t="n"/>
      <c r="K8" s="143" t="n"/>
      <c r="L8" s="144" t="n"/>
      <c r="M8" s="55" t="n"/>
      <c r="N8" s="55" t="n"/>
    </row>
    <row r="9" ht="19.5" customHeight="1" s="128">
      <c r="B9" s="35" t="inlineStr">
        <is>
          <t>2. Produse / SKU-uri care folosesc aceasta unitate</t>
        </is>
      </c>
      <c r="C9" s="35" t="n"/>
      <c r="D9" s="35" t="n"/>
      <c r="E9" s="36" t="n"/>
      <c r="F9" s="36" t="n"/>
      <c r="G9" s="36" t="n"/>
      <c r="H9" s="36" t="n"/>
      <c r="I9" s="36" t="n"/>
      <c r="J9" s="36" t="n"/>
      <c r="K9" s="36" t="n"/>
      <c r="L9" s="36" t="n"/>
      <c r="M9" s="51" t="n"/>
      <c r="N9" s="51" t="n"/>
    </row>
    <row r="10" ht="30" customHeight="1" s="128">
      <c r="B10" s="3" t="inlineStr">
        <is>
          <t>Denumire produs / SKU</t>
        </is>
      </c>
      <c r="C10" s="102" t="inlineStr">
        <is>
          <t>Volum anual estimat (buc/an)</t>
        </is>
      </c>
      <c r="D10" s="102" t="inlineStr">
        <is>
          <t>Frecventa comenzilor</t>
        </is>
      </c>
      <c r="E10" s="102" t="inlineStr">
        <is>
          <t>Observatii</t>
        </is>
      </c>
      <c r="F10" s="146" t="n"/>
      <c r="G10" s="146" t="n"/>
      <c r="H10" s="146" t="n"/>
      <c r="I10" s="146" t="n"/>
      <c r="J10" s="146" t="n"/>
      <c r="K10" s="146" t="n"/>
      <c r="L10" s="146" t="n"/>
      <c r="M10" s="50" t="n"/>
      <c r="N10" s="50" t="n"/>
    </row>
    <row r="11" ht="30" customHeight="1" s="128">
      <c r="B11" s="42" t="n"/>
      <c r="C11" s="67" t="n"/>
      <c r="D11" s="53" t="n"/>
      <c r="E11" s="104" t="n"/>
      <c r="F11" s="143" t="n"/>
      <c r="G11" s="143" t="n"/>
      <c r="H11" s="143" t="n"/>
      <c r="I11" s="143" t="n"/>
      <c r="J11" s="143" t="n"/>
      <c r="K11" s="143" t="n"/>
      <c r="L11" s="143" t="n"/>
      <c r="M11" s="55" t="n"/>
      <c r="N11" s="55" t="n"/>
    </row>
    <row r="12" ht="30" customHeight="1" s="128">
      <c r="B12" s="42" t="n"/>
      <c r="C12" s="67" t="n"/>
      <c r="D12" s="53" t="n"/>
      <c r="E12" s="104" t="n"/>
      <c r="F12" s="143" t="n"/>
      <c r="G12" s="143" t="n"/>
      <c r="H12" s="143" t="n"/>
      <c r="I12" s="143" t="n"/>
      <c r="J12" s="143" t="n"/>
      <c r="K12" s="143" t="n"/>
      <c r="L12" s="143" t="n"/>
      <c r="M12" s="55" t="n"/>
      <c r="N12" s="55" t="n"/>
    </row>
    <row r="13" ht="30" customHeight="1" s="128">
      <c r="B13" s="42" t="n"/>
      <c r="C13" s="67" t="n"/>
      <c r="D13" s="53" t="n"/>
      <c r="E13" s="104" t="n"/>
      <c r="F13" s="143" t="n"/>
      <c r="G13" s="143" t="n"/>
      <c r="H13" s="143" t="n"/>
      <c r="I13" s="143" t="n"/>
      <c r="J13" s="143" t="n"/>
      <c r="K13" s="143" t="n"/>
      <c r="L13" s="143" t="n"/>
      <c r="M13" s="55" t="n"/>
      <c r="N13" s="55" t="n"/>
    </row>
    <row r="14" ht="30" customHeight="1" s="128">
      <c r="B14" s="64" t="n"/>
      <c r="C14" s="68" t="n"/>
      <c r="D14" s="53" t="n"/>
      <c r="E14" s="104" t="n"/>
      <c r="F14" s="143" t="n"/>
      <c r="G14" s="143" t="n"/>
      <c r="H14" s="143" t="n"/>
      <c r="I14" s="143" t="n"/>
      <c r="J14" s="143" t="n"/>
      <c r="K14" s="143" t="n"/>
      <c r="L14" s="143" t="n"/>
      <c r="M14" s="55" t="n"/>
      <c r="N14" s="55" t="n"/>
    </row>
    <row r="15" ht="24" customHeight="1" s="128">
      <c r="B15" s="65" t="inlineStr">
        <is>
          <t>TOTAL volum anual unitate (automat)</t>
        </is>
      </c>
      <c r="C15" s="66">
        <f>SUM(C11:C14)</f>
        <v/>
      </c>
    </row>
    <row r="16" ht="19.5" customHeight="1" s="128">
      <c r="B16" s="35" t="inlineStr">
        <is>
          <t>3. Componentele unitatii de ambalaj</t>
        </is>
      </c>
      <c r="C16" s="35" t="n"/>
      <c r="D16" s="35" t="n"/>
      <c r="E16" s="35" t="n"/>
      <c r="F16" s="35" t="n"/>
      <c r="G16" s="35" t="n"/>
      <c r="H16" s="35" t="n"/>
      <c r="I16" s="35" t="n"/>
      <c r="J16" s="35" t="n"/>
      <c r="K16" s="35" t="n"/>
      <c r="L16" s="35" t="n"/>
      <c r="M16" s="63" t="n"/>
      <c r="N16" s="63" t="n"/>
    </row>
    <row r="17" ht="49.95" customHeight="1" s="128">
      <c r="B17" s="3" t="inlineStr">
        <is>
          <t>Denumire componenta</t>
        </is>
      </c>
      <c r="C17" s="3" t="inlineStr">
        <is>
          <t>Material</t>
        </is>
      </c>
      <c r="D17" s="3" t="inlineStr">
        <is>
          <t>Culoare</t>
        </is>
      </c>
      <c r="E17" s="3" t="inlineStr">
        <is>
          <t>Greutate (g)</t>
        </is>
      </c>
      <c r="F17" s="3" t="inlineStr">
        <is>
          <t>% reciclabil (0-100%)</t>
        </is>
      </c>
      <c r="G17" s="3" t="inlineStr">
        <is>
          <t>Masa reciclabila (g)</t>
        </is>
      </c>
      <c r="H17" s="3" t="inlineStr">
        <is>
          <t>% continut reciclat (PCR)</t>
        </is>
      </c>
      <c r="I17" s="3" t="inlineStr">
        <is>
          <t>Furnizor</t>
        </is>
      </c>
      <c r="J17" s="3" t="inlineStr">
        <is>
          <t>Tara origine</t>
        </is>
      </c>
      <c r="K17" s="3" t="inlineStr">
        <is>
          <t>Pret unitar (EUR / 1000 buc)</t>
        </is>
      </c>
      <c r="L17" s="102" t="inlineStr">
        <is>
          <t>Observatii / risc</t>
        </is>
      </c>
    </row>
    <row r="18" ht="18" customHeight="1" s="128">
      <c r="B18" s="43" t="n"/>
      <c r="C18" s="44" t="n"/>
      <c r="D18" s="44" t="n"/>
      <c r="E18" s="44" t="n"/>
      <c r="F18" s="45" t="n"/>
      <c r="G18" s="147">
        <f>IF(OR(E18="",F18=""),"",E18*F18)</f>
        <v/>
      </c>
      <c r="H18" s="45" t="n"/>
      <c r="I18" s="44" t="n"/>
      <c r="J18" s="44" t="n"/>
      <c r="K18" s="69" t="n"/>
      <c r="L18" s="59" t="n"/>
    </row>
    <row r="19" ht="18" customHeight="1" s="128">
      <c r="B19" s="43" t="n"/>
      <c r="C19" s="44" t="n"/>
      <c r="D19" s="44" t="n"/>
      <c r="E19" s="44" t="n"/>
      <c r="F19" s="45" t="n"/>
      <c r="G19" s="147">
        <f>IF(OR(E19="",F19=""),"",E19*F19)</f>
        <v/>
      </c>
      <c r="H19" s="45" t="n"/>
      <c r="I19" s="44" t="n"/>
      <c r="J19" s="44" t="n"/>
      <c r="K19" s="69" t="n"/>
      <c r="L19" s="59" t="n"/>
    </row>
    <row r="20" ht="18" customHeight="1" s="128">
      <c r="B20" s="43" t="n"/>
      <c r="C20" s="44" t="n"/>
      <c r="D20" s="44" t="n"/>
      <c r="E20" s="44" t="n"/>
      <c r="F20" s="45" t="n"/>
      <c r="G20" s="147">
        <f>IF(OR(E20="",F20=""),"",E20*F20)</f>
        <v/>
      </c>
      <c r="H20" s="45" t="n"/>
      <c r="I20" s="44" t="n"/>
      <c r="J20" s="44" t="n"/>
      <c r="K20" s="69" t="n"/>
      <c r="L20" s="59" t="n"/>
    </row>
    <row r="21" ht="18" customHeight="1" s="128">
      <c r="B21" s="43" t="n"/>
      <c r="C21" s="44" t="n"/>
      <c r="D21" s="44" t="n"/>
      <c r="E21" s="44" t="n"/>
      <c r="F21" s="45" t="n"/>
      <c r="G21" s="147">
        <f>IF(OR(E21="",F21=""),"",E21*F21)</f>
        <v/>
      </c>
      <c r="H21" s="45" t="n"/>
      <c r="I21" s="44" t="n"/>
      <c r="J21" s="44" t="n"/>
      <c r="K21" s="69" t="n"/>
      <c r="L21" s="59" t="n"/>
    </row>
    <row r="22" ht="18" customHeight="1" s="128">
      <c r="B22" s="43" t="n"/>
      <c r="C22" s="44" t="n"/>
      <c r="D22" s="44" t="n"/>
      <c r="E22" s="44" t="n"/>
      <c r="F22" s="45" t="n"/>
      <c r="G22" s="147">
        <f>IF(OR(E22="",F22=""),"",E22*F22)</f>
        <v/>
      </c>
      <c r="H22" s="45" t="n"/>
      <c r="I22" s="44" t="n"/>
      <c r="J22" s="44" t="n"/>
      <c r="K22" s="69" t="n"/>
      <c r="L22" s="59" t="n"/>
    </row>
    <row r="23" ht="18" customHeight="1" s="128">
      <c r="B23" s="43" t="n"/>
      <c r="C23" s="44" t="n"/>
      <c r="D23" s="44" t="n"/>
      <c r="E23" s="44" t="n"/>
      <c r="F23" s="45" t="n"/>
      <c r="G23" s="147">
        <f>IF(OR(E23="",F23=""),"",E23*F23)</f>
        <v/>
      </c>
      <c r="H23" s="45" t="n"/>
      <c r="I23" s="44" t="n"/>
      <c r="J23" s="44" t="n"/>
      <c r="K23" s="69" t="n"/>
      <c r="L23" s="59" t="n"/>
    </row>
    <row r="24" ht="18" customHeight="1" s="128">
      <c r="B24" s="43" t="n"/>
      <c r="C24" s="44" t="n"/>
      <c r="D24" s="44" t="n"/>
      <c r="E24" s="44" t="n"/>
      <c r="F24" s="45" t="n"/>
      <c r="G24" s="147">
        <f>IF(OR(E24="",F24=""),"",E24*F24)</f>
        <v/>
      </c>
      <c r="H24" s="45" t="n"/>
      <c r="I24" s="44" t="n"/>
      <c r="J24" s="44" t="n"/>
      <c r="K24" s="69" t="n"/>
      <c r="L24" s="59" t="n"/>
    </row>
    <row r="25" ht="18" customHeight="1" s="128">
      <c r="B25" s="43" t="n"/>
      <c r="C25" s="44" t="n"/>
      <c r="D25" s="44" t="n"/>
      <c r="E25" s="44" t="n"/>
      <c r="F25" s="45" t="n"/>
      <c r="G25" s="147">
        <f>IF(OR(E25="",F25=""),"",E25*F25)</f>
        <v/>
      </c>
      <c r="H25" s="45" t="n"/>
      <c r="I25" s="44" t="n"/>
      <c r="J25" s="44" t="n"/>
      <c r="K25" s="69" t="n"/>
      <c r="L25" s="59" t="n"/>
    </row>
    <row r="26" ht="19.5" customHeight="1" s="128">
      <c r="B26" s="116" t="inlineStr">
        <is>
          <t>TOTAL unitate (greutate si masa reciclabila)</t>
        </is>
      </c>
      <c r="C26" s="146" t="n"/>
      <c r="D26" s="131" t="n"/>
      <c r="E26" s="148">
        <f>SUM(E18:E25)</f>
        <v/>
      </c>
      <c r="F26" s="40" t="n"/>
      <c r="G26" s="148">
        <f>SUM(G18:G25)</f>
        <v/>
      </c>
      <c r="H26" s="40" t="n"/>
      <c r="I26" s="40" t="n"/>
      <c r="J26" s="40" t="n"/>
      <c r="K26" s="40" t="n"/>
      <c r="L26" s="60" t="n"/>
      <c r="M26" s="61" t="n"/>
      <c r="N26" s="61" t="n"/>
    </row>
    <row r="27" ht="19.5" customHeight="1" s="128">
      <c r="B27" s="116" t="inlineStr">
        <is>
          <t>% reciclabil ponderat pe greutate (automat)</t>
        </is>
      </c>
      <c r="C27" s="146" t="n"/>
      <c r="D27" s="131" t="n"/>
      <c r="E27" s="149">
        <f>IFERROR(G26/E26,"-")</f>
        <v/>
      </c>
    </row>
    <row r="28" ht="30" customHeight="1" s="128">
      <c r="B28" s="116" t="inlineStr">
        <is>
          <t>Clasa de reciclabilitate calculata (A ≥95% / B ≥80% / C ≥70%)</t>
        </is>
      </c>
      <c r="C28" s="146" t="n"/>
      <c r="D28" s="131" t="n"/>
      <c r="E28" s="150">
        <f>IF(NOT(ISNUMBER(E27)),"-",IF(E27&gt;=0.95,"A",IF(E27&gt;=0.8,"B",IF(E27&gt;=0.7,"C","Sub 70% - nereciclabil"))))</f>
        <v/>
      </c>
      <c r="F28" s="146" t="n"/>
      <c r="G28" s="131" t="n"/>
    </row>
    <row r="29" ht="34.05" customHeight="1" s="128">
      <c r="B29" s="151" t="inlineStr">
        <is>
          <t>Cost total componente (EUR / 1000 buc) - suma preturilor completate (automat)</t>
        </is>
      </c>
      <c r="C29" s="146" t="n"/>
      <c r="D29" s="131" t="n"/>
      <c r="E29" s="152">
        <f>SUM(K18:K25)</f>
        <v/>
      </c>
      <c r="F29" s="146" t="n"/>
      <c r="G29" s="131" t="n"/>
      <c r="H29" s="70" t="n"/>
      <c r="I29" s="70" t="n"/>
      <c r="J29" s="70" t="n"/>
      <c r="K29" s="70" t="n"/>
      <c r="L29" s="70" t="n"/>
    </row>
    <row r="30" ht="34.05" customHeight="1" s="128">
      <c r="B30" s="151" t="inlineStr">
        <is>
          <t>Material total pus pe piata (kg/an) = greutate x volum anual (automat)</t>
        </is>
      </c>
      <c r="C30" s="146" t="n"/>
      <c r="D30" s="131" t="n"/>
      <c r="E30" s="153">
        <f>IF(OR(N(C15)=0,N(E26)=0),"-",E26*C15/1000)</f>
        <v/>
      </c>
      <c r="F30" s="146" t="n"/>
      <c r="G30" s="131" t="n"/>
      <c r="H30" s="70" t="n"/>
      <c r="I30" s="70" t="n"/>
      <c r="J30" s="70" t="n"/>
      <c r="K30" s="70" t="n"/>
      <c r="L30" s="70" t="n"/>
    </row>
    <row r="32" ht="19.5" customHeight="1" s="128">
      <c r="B32" s="35" t="inlineStr">
        <is>
          <t>4. Cerintele produsului/produselor ambalate</t>
        </is>
      </c>
      <c r="C32" s="35" t="n"/>
      <c r="D32" s="35" t="n"/>
      <c r="E32" s="36" t="n"/>
      <c r="F32" s="36" t="n"/>
      <c r="G32" s="36" t="n"/>
      <c r="H32" s="36" t="n"/>
      <c r="I32" s="36" t="n"/>
      <c r="J32" s="36" t="n"/>
      <c r="K32" s="36" t="n"/>
      <c r="L32" s="36" t="n"/>
      <c r="M32" s="51" t="n"/>
      <c r="N32" s="51" t="n"/>
    </row>
    <row r="33" ht="30" customHeight="1" s="128">
      <c r="B33" s="112" t="inlineStr">
        <is>
          <t>Daca SKU-urile din sectiunea 2 au cerinte diferite, noteaza diferentele in coloana 'Observatii' din tabelul SKU-urilor.</t>
        </is>
      </c>
      <c r="C33" s="154" t="n"/>
      <c r="D33" s="154" t="n"/>
      <c r="E33" s="154" t="n"/>
      <c r="F33" s="154" t="n"/>
      <c r="G33" s="154" t="n"/>
      <c r="H33" s="154" t="n"/>
      <c r="I33" s="154" t="n"/>
      <c r="J33" s="154" t="n"/>
      <c r="K33" s="154" t="n"/>
      <c r="L33" s="154" t="n"/>
      <c r="M33" s="82" t="n"/>
      <c r="N33" s="82" t="n"/>
    </row>
    <row r="34" ht="31.95" customHeight="1" s="128">
      <c r="B34" s="52" t="inlineStr">
        <is>
          <t>Tip produs (lichid / crema-gel / pudra / solid / altul)</t>
        </is>
      </c>
      <c r="C34" s="139" t="n"/>
      <c r="D34" s="140" t="n"/>
      <c r="E34" s="140" t="n"/>
      <c r="F34" s="140" t="n"/>
      <c r="G34" s="140" t="n"/>
      <c r="H34" s="140" t="n"/>
      <c r="I34" s="140" t="n"/>
      <c r="J34" s="140" t="n"/>
      <c r="K34" s="140" t="n"/>
      <c r="L34" s="141" t="n"/>
      <c r="M34" s="55" t="n"/>
      <c r="N34" s="55" t="n"/>
    </row>
    <row r="35" ht="46.95" customHeight="1" s="128">
      <c r="B35" s="52" t="inlineStr">
        <is>
          <t>Categorie reglementata a produsului (alimentar / farma / cosmetic / supliment / altul)</t>
        </is>
      </c>
      <c r="C35" s="145" t="n"/>
      <c r="D35" s="143" t="n"/>
      <c r="E35" s="143" t="n"/>
      <c r="F35" s="143" t="n"/>
      <c r="G35" s="143" t="n"/>
      <c r="H35" s="143" t="n"/>
      <c r="I35" s="143" t="n"/>
      <c r="J35" s="143" t="n"/>
      <c r="K35" s="143" t="n"/>
      <c r="L35" s="144" t="n"/>
      <c r="M35" s="55" t="n"/>
      <c r="N35" s="55" t="n"/>
    </row>
    <row r="36" ht="46.95" customHeight="1" s="128">
      <c r="B36" s="52" t="inlineStr">
        <is>
          <t>Functii cerute ambalajului (pompa, picurator, spray, flip-top, sigiliu, protectie copii)</t>
        </is>
      </c>
      <c r="C36" s="145" t="n"/>
      <c r="D36" s="143" t="n"/>
      <c r="E36" s="143" t="n"/>
      <c r="F36" s="143" t="n"/>
      <c r="G36" s="143" t="n"/>
      <c r="H36" s="143" t="n"/>
      <c r="I36" s="143" t="n"/>
      <c r="J36" s="143" t="n"/>
      <c r="K36" s="143" t="n"/>
      <c r="L36" s="144" t="n"/>
      <c r="M36" s="55" t="n"/>
      <c r="N36" s="55" t="n"/>
    </row>
    <row r="37" ht="30" customHeight="1" s="128">
      <c r="B37" s="52" t="inlineStr">
        <is>
          <t>Sensibilitate la oxigen</t>
        </is>
      </c>
      <c r="C37" s="139" t="n"/>
      <c r="D37" s="140" t="n"/>
      <c r="E37" s="140" t="n"/>
      <c r="F37" s="140" t="n"/>
      <c r="G37" s="140" t="n"/>
      <c r="H37" s="140" t="n"/>
      <c r="I37" s="140" t="n"/>
      <c r="J37" s="140" t="n"/>
      <c r="K37" s="140" t="n"/>
      <c r="L37" s="141" t="n"/>
      <c r="M37" s="55" t="n"/>
      <c r="N37" s="55" t="n"/>
    </row>
    <row r="38" ht="30" customHeight="1" s="128">
      <c r="B38" s="52" t="inlineStr">
        <is>
          <t>Sensibilitate la lumina / UV</t>
        </is>
      </c>
      <c r="C38" s="139" t="n"/>
      <c r="D38" s="140" t="n"/>
      <c r="E38" s="140" t="n"/>
      <c r="F38" s="140" t="n"/>
      <c r="G38" s="140" t="n"/>
      <c r="H38" s="140" t="n"/>
      <c r="I38" s="140" t="n"/>
      <c r="J38" s="140" t="n"/>
      <c r="K38" s="140" t="n"/>
      <c r="L38" s="141" t="n"/>
      <c r="M38" s="55" t="n"/>
      <c r="N38" s="55" t="n"/>
    </row>
    <row r="39" ht="30" customHeight="1" s="128">
      <c r="B39" s="52" t="inlineStr">
        <is>
          <t>Sensibilitate la umiditate</t>
        </is>
      </c>
      <c r="C39" s="139" t="n"/>
      <c r="D39" s="140" t="n"/>
      <c r="E39" s="140" t="n"/>
      <c r="F39" s="140" t="n"/>
      <c r="G39" s="140" t="n"/>
      <c r="H39" s="140" t="n"/>
      <c r="I39" s="140" t="n"/>
      <c r="J39" s="140" t="n"/>
      <c r="K39" s="140" t="n"/>
      <c r="L39" s="141" t="n"/>
      <c r="M39" s="55" t="n"/>
      <c r="N39" s="55" t="n"/>
    </row>
    <row r="40" ht="31.95" customHeight="1" s="128">
      <c r="B40" s="52" t="inlineStr">
        <is>
          <t>Compatibilitate chimica necesara (grasimi, alcool, acizi, uleiuri)</t>
        </is>
      </c>
      <c r="C40" s="139" t="n"/>
      <c r="D40" s="140" t="n"/>
      <c r="E40" s="140" t="n"/>
      <c r="F40" s="140" t="n"/>
      <c r="G40" s="140" t="n"/>
      <c r="H40" s="140" t="n"/>
      <c r="I40" s="140" t="n"/>
      <c r="J40" s="140" t="n"/>
      <c r="K40" s="140" t="n"/>
      <c r="L40" s="141" t="n"/>
      <c r="M40" s="55" t="n"/>
      <c r="N40" s="55" t="n"/>
    </row>
    <row r="41" ht="30" customHeight="1" s="128">
      <c r="B41" s="52" t="inlineStr">
        <is>
          <t>Temperatura de umplere</t>
        </is>
      </c>
      <c r="C41" s="139" t="n"/>
      <c r="D41" s="140" t="n"/>
      <c r="E41" s="140" t="n"/>
      <c r="F41" s="140" t="n"/>
      <c r="G41" s="140" t="n"/>
      <c r="H41" s="140" t="n"/>
      <c r="I41" s="140" t="n"/>
      <c r="J41" s="140" t="n"/>
      <c r="K41" s="140" t="n"/>
      <c r="L41" s="141" t="n"/>
      <c r="M41" s="55" t="n"/>
      <c r="N41" s="55" t="n"/>
    </row>
    <row r="42" ht="30" customHeight="1" s="128">
      <c r="B42" s="52" t="inlineStr">
        <is>
          <t>Temperatura / conditii de depozitare</t>
        </is>
      </c>
      <c r="C42" s="139" t="n"/>
      <c r="D42" s="140" t="n"/>
      <c r="E42" s="140" t="n"/>
      <c r="F42" s="140" t="n"/>
      <c r="G42" s="140" t="n"/>
      <c r="H42" s="140" t="n"/>
      <c r="I42" s="140" t="n"/>
      <c r="J42" s="140" t="n"/>
      <c r="K42" s="140" t="n"/>
      <c r="L42" s="141" t="n"/>
      <c r="M42" s="55" t="n"/>
      <c r="N42" s="55" t="n"/>
    </row>
    <row r="43" ht="30" customHeight="1" s="128">
      <c r="B43" s="52" t="inlineStr">
        <is>
          <t>Valabilitate / shelf-life dorita</t>
        </is>
      </c>
      <c r="C43" s="142" t="n"/>
      <c r="D43" s="143" t="n"/>
      <c r="E43" s="143" t="n"/>
      <c r="F43" s="143" t="n"/>
      <c r="G43" s="143" t="n"/>
      <c r="H43" s="143" t="n"/>
      <c r="I43" s="143" t="n"/>
      <c r="J43" s="143" t="n"/>
      <c r="K43" s="143" t="n"/>
      <c r="L43" s="144" t="n"/>
      <c r="M43" s="55" t="n"/>
      <c r="N43" s="55" t="n"/>
    </row>
    <row r="45" ht="19.5" customHeight="1" s="128">
      <c r="B45" s="35" t="inlineStr">
        <is>
          <t>5. Procesul de ambalare si utilajele clientului</t>
        </is>
      </c>
      <c r="C45" s="35" t="n"/>
      <c r="D45" s="35" t="n"/>
      <c r="E45" s="36" t="n"/>
      <c r="F45" s="36" t="n"/>
      <c r="G45" s="36" t="n"/>
      <c r="H45" s="36" t="n"/>
      <c r="I45" s="36" t="n"/>
      <c r="J45" s="36" t="n"/>
      <c r="K45" s="36" t="n"/>
      <c r="L45" s="36" t="n"/>
      <c r="M45" s="51" t="n"/>
      <c r="N45" s="51" t="n"/>
    </row>
    <row r="46" ht="31.95" customHeight="1" s="128">
      <c r="B46" s="52" t="inlineStr">
        <is>
          <t>Tip linie de ambalare (automata / semi-automata / manuala)</t>
        </is>
      </c>
      <c r="C46" s="139" t="n"/>
      <c r="D46" s="140" t="n"/>
      <c r="E46" s="140" t="n"/>
      <c r="F46" s="140" t="n"/>
      <c r="G46" s="140" t="n"/>
      <c r="H46" s="140" t="n"/>
      <c r="I46" s="140" t="n"/>
      <c r="J46" s="140" t="n"/>
      <c r="K46" s="140" t="n"/>
      <c r="L46" s="141" t="n"/>
      <c r="M46" s="55" t="n"/>
      <c r="N46" s="55" t="n"/>
    </row>
    <row r="47" ht="30" customHeight="1" s="128">
      <c r="B47" s="52" t="inlineStr">
        <is>
          <t>Viteza linie (buc/min)</t>
        </is>
      </c>
      <c r="C47" s="139" t="n"/>
      <c r="D47" s="140" t="n"/>
      <c r="E47" s="140" t="n"/>
      <c r="F47" s="140" t="n"/>
      <c r="G47" s="140" t="n"/>
      <c r="H47" s="140" t="n"/>
      <c r="I47" s="140" t="n"/>
      <c r="J47" s="140" t="n"/>
      <c r="K47" s="140" t="n"/>
      <c r="L47" s="141" t="n"/>
      <c r="M47" s="55" t="n"/>
      <c r="N47" s="55" t="n"/>
    </row>
    <row r="48" ht="31.95" customHeight="1" s="128">
      <c r="B48" s="52" t="inlineStr">
        <is>
          <t>Tip umplere (volumetrica, la rece/cald, aseptica)</t>
        </is>
      </c>
      <c r="C48" s="139" t="n"/>
      <c r="D48" s="140" t="n"/>
      <c r="E48" s="140" t="n"/>
      <c r="F48" s="140" t="n"/>
      <c r="G48" s="140" t="n"/>
      <c r="H48" s="140" t="n"/>
      <c r="I48" s="140" t="n"/>
      <c r="J48" s="140" t="n"/>
      <c r="K48" s="140" t="n"/>
      <c r="L48" s="141" t="n"/>
      <c r="M48" s="55" t="n"/>
      <c r="N48" s="55" t="n"/>
    </row>
    <row r="49" ht="31.95" customHeight="1" s="128">
      <c r="B49" s="52" t="inlineStr">
        <is>
          <t>Tip inchidere folosit pe linie (infoliere, capsare, presare, inductie)</t>
        </is>
      </c>
      <c r="C49" s="139" t="n"/>
      <c r="D49" s="140" t="n"/>
      <c r="E49" s="140" t="n"/>
      <c r="F49" s="140" t="n"/>
      <c r="G49" s="140" t="n"/>
      <c r="H49" s="140" t="n"/>
      <c r="I49" s="140" t="n"/>
      <c r="J49" s="140" t="n"/>
      <c r="K49" s="140" t="n"/>
      <c r="L49" s="141" t="n"/>
      <c r="M49" s="55" t="n"/>
      <c r="N49" s="55" t="n"/>
    </row>
    <row r="50" ht="31.95" customHeight="1" s="128">
      <c r="B50" s="52" t="inlineStr">
        <is>
          <t>Cod gat / finisaj compatibil cu echipamentul existent</t>
        </is>
      </c>
      <c r="C50" s="139" t="n"/>
      <c r="D50" s="140" t="n"/>
      <c r="E50" s="140" t="n"/>
      <c r="F50" s="140" t="n"/>
      <c r="G50" s="140" t="n"/>
      <c r="H50" s="140" t="n"/>
      <c r="I50" s="140" t="n"/>
      <c r="J50" s="140" t="n"/>
      <c r="K50" s="140" t="n"/>
      <c r="L50" s="141" t="n"/>
      <c r="M50" s="55" t="n"/>
      <c r="N50" s="55" t="n"/>
    </row>
    <row r="51" ht="31.95" customHeight="1" s="128">
      <c r="B51" s="52" t="inlineStr">
        <is>
          <t>Tip etichetare folosit (aplicator rece/cald, sleeve, manual)</t>
        </is>
      </c>
      <c r="C51" s="139" t="n"/>
      <c r="D51" s="140" t="n"/>
      <c r="E51" s="140" t="n"/>
      <c r="F51" s="140" t="n"/>
      <c r="G51" s="140" t="n"/>
      <c r="H51" s="140" t="n"/>
      <c r="I51" s="140" t="n"/>
      <c r="J51" s="140" t="n"/>
      <c r="K51" s="140" t="n"/>
      <c r="L51" s="141" t="n"/>
      <c r="M51" s="55" t="n"/>
      <c r="N51" s="55" t="n"/>
    </row>
    <row r="52" ht="30" customHeight="1" s="128">
      <c r="B52" s="52" t="inlineStr">
        <is>
          <t>Ambalaj secundar / paletizare</t>
        </is>
      </c>
      <c r="C52" s="139" t="n"/>
      <c r="D52" s="140" t="n"/>
      <c r="E52" s="140" t="n"/>
      <c r="F52" s="140" t="n"/>
      <c r="G52" s="140" t="n"/>
      <c r="H52" s="140" t="n"/>
      <c r="I52" s="140" t="n"/>
      <c r="J52" s="140" t="n"/>
      <c r="K52" s="140" t="n"/>
      <c r="L52" s="141" t="n"/>
      <c r="M52" s="55" t="n"/>
      <c r="N52" s="55" t="n"/>
    </row>
    <row r="53" ht="31.95" customHeight="1" s="128">
      <c r="B53" s="52" t="inlineStr">
        <is>
          <t>Limitari cunoscute ale liniei (greutate maxima, diametru, inaltime)</t>
        </is>
      </c>
      <c r="C53" s="142" t="n"/>
      <c r="D53" s="143" t="n"/>
      <c r="E53" s="143" t="n"/>
      <c r="F53" s="143" t="n"/>
      <c r="G53" s="143" t="n"/>
      <c r="H53" s="143" t="n"/>
      <c r="I53" s="143" t="n"/>
      <c r="J53" s="143" t="n"/>
      <c r="K53" s="143" t="n"/>
      <c r="L53" s="144" t="n"/>
      <c r="M53" s="55" t="n"/>
      <c r="N53" s="55" t="n"/>
    </row>
    <row r="55" ht="19.5" customHeight="1" s="128">
      <c r="B55" s="35" t="inlineStr">
        <is>
          <t>6. Analiza de risc si conformitate PPWR — completata de MIRALEDO, impreuna cu clientul</t>
        </is>
      </c>
      <c r="C55" s="35" t="n"/>
      <c r="D55" s="35" t="n"/>
      <c r="E55" s="36" t="n"/>
      <c r="F55" s="36" t="n"/>
      <c r="G55" s="36" t="n"/>
      <c r="H55" s="36" t="n"/>
      <c r="I55" s="36" t="n"/>
      <c r="J55" s="36" t="n"/>
      <c r="K55" s="36" t="n"/>
      <c r="L55" s="36" t="n"/>
      <c r="M55" s="51" t="n"/>
      <c r="N55" s="51" t="n"/>
    </row>
    <row r="56" ht="30" customHeight="1" s="128">
      <c r="B56" s="112" t="inlineStr">
        <is>
          <t>Evaluare comerciala interna MIRALEDO a ambalajului ACTUAL. Nu reprezinta o certificare oficiala PPWR (nu exista asa ceva) - clasa de la sectiunea 3 e calculata din datele introduse pentru fiecare componenta.</t>
        </is>
      </c>
      <c r="C56" s="154" t="n"/>
      <c r="D56" s="154" t="n"/>
      <c r="E56" s="154" t="n"/>
      <c r="F56" s="154" t="n"/>
      <c r="G56" s="154" t="n"/>
      <c r="H56" s="154" t="n"/>
      <c r="I56" s="154" t="n"/>
      <c r="J56" s="154" t="n"/>
      <c r="K56" s="154" t="n"/>
      <c r="L56" s="154" t="n"/>
      <c r="M56" s="82" t="n"/>
      <c r="N56" s="82" t="n"/>
    </row>
    <row r="57" ht="31.95" customHeight="1" s="128">
      <c r="B57" s="52" t="inlineStr">
        <is>
          <t>Testare substante restrictionate (PFAS etc.) efectuata?</t>
        </is>
      </c>
      <c r="C57" s="139" t="n"/>
      <c r="D57" s="140" t="n"/>
      <c r="E57" s="140" t="n"/>
      <c r="F57" s="140" t="n"/>
      <c r="G57" s="140" t="n"/>
      <c r="H57" s="140" t="n"/>
      <c r="I57" s="140" t="n"/>
      <c r="J57" s="140" t="n"/>
      <c r="K57" s="140" t="n"/>
      <c r="L57" s="141" t="n"/>
      <c r="M57" s="55" t="n"/>
      <c r="N57" s="55" t="n"/>
    </row>
    <row r="58" ht="45" customHeight="1" s="128">
      <c r="B58" s="52" t="inlineStr">
        <is>
          <t>Documentatie de conformitate disponibila (documentatie tehnica - Anexa VII; declaratie UE - Anexa VIII)</t>
        </is>
      </c>
      <c r="C58" s="139" t="n"/>
      <c r="D58" s="140" t="n"/>
      <c r="E58" s="140" t="n"/>
      <c r="F58" s="140" t="n"/>
      <c r="G58" s="140" t="n"/>
      <c r="H58" s="140" t="n"/>
      <c r="I58" s="140" t="n"/>
      <c r="J58" s="140" t="n"/>
      <c r="K58" s="140" t="n"/>
      <c r="L58" s="141" t="n"/>
      <c r="M58" s="55" t="n"/>
      <c r="N58" s="55" t="n"/>
    </row>
    <row r="59" ht="31.95" customHeight="1" s="128">
      <c r="B59" s="52" t="inlineStr">
        <is>
          <t>Expunere la restrictii de format PPWR (Anexa V)</t>
        </is>
      </c>
      <c r="C59" s="139" t="n"/>
      <c r="D59" s="140" t="n"/>
      <c r="E59" s="140" t="n"/>
      <c r="F59" s="140" t="n"/>
      <c r="G59" s="140" t="n"/>
      <c r="H59" s="140" t="n"/>
      <c r="I59" s="140" t="n"/>
      <c r="J59" s="140" t="n"/>
      <c r="K59" s="140" t="n"/>
      <c r="L59" s="141" t="n"/>
      <c r="M59" s="55" t="n"/>
      <c r="N59" s="55" t="n"/>
    </row>
    <row r="60" ht="31.95" customHeight="1" s="128">
      <c r="B60" s="52" t="inlineStr">
        <is>
          <t>Aplicabilitate obligatii reutilizare / reumplere (2027-2030)</t>
        </is>
      </c>
      <c r="C60" s="139" t="n"/>
      <c r="D60" s="140" t="n"/>
      <c r="E60" s="140" t="n"/>
      <c r="F60" s="140" t="n"/>
      <c r="G60" s="140" t="n"/>
      <c r="H60" s="140" t="n"/>
      <c r="I60" s="140" t="n"/>
      <c r="J60" s="140" t="n"/>
      <c r="K60" s="140" t="n"/>
      <c r="L60" s="141" t="n"/>
      <c r="M60" s="55" t="n"/>
      <c r="N60" s="55" t="n"/>
    </row>
    <row r="61" ht="31.95" customHeight="1" s="128">
      <c r="B61" s="52" t="inlineStr">
        <is>
          <t>Nivel de risc PPWR (Ridicat / Mediu / Scazut)</t>
        </is>
      </c>
      <c r="C61" s="139" t="n"/>
      <c r="D61" s="140" t="n"/>
      <c r="E61" s="140" t="n"/>
      <c r="F61" s="140" t="n"/>
      <c r="G61" s="140" t="n"/>
      <c r="H61" s="140" t="n"/>
      <c r="I61" s="140" t="n"/>
      <c r="J61" s="140" t="n"/>
      <c r="K61" s="140" t="n"/>
      <c r="L61" s="141" t="n"/>
      <c r="M61" s="55" t="n"/>
      <c r="N61" s="55" t="n"/>
    </row>
    <row r="62" ht="30" customHeight="1" s="128">
      <c r="B62" s="52" t="inlineStr">
        <is>
          <t>Motivatie risc identificat</t>
        </is>
      </c>
      <c r="C62" s="139" t="n"/>
      <c r="D62" s="140" t="n"/>
      <c r="E62" s="140" t="n"/>
      <c r="F62" s="140" t="n"/>
      <c r="G62" s="140" t="n"/>
      <c r="H62" s="140" t="n"/>
      <c r="I62" s="140" t="n"/>
      <c r="J62" s="140" t="n"/>
      <c r="K62" s="140" t="n"/>
      <c r="L62" s="141" t="n"/>
      <c r="M62" s="55" t="n"/>
      <c r="N62" s="55" t="n"/>
    </row>
    <row r="63" ht="31.95" customHeight="1" s="128">
      <c r="B63" s="52" t="inlineStr">
        <is>
          <t>Oportunitati de imbunatatire propuse de MIRALEDO</t>
        </is>
      </c>
      <c r="C63" s="139" t="n"/>
      <c r="D63" s="140" t="n"/>
      <c r="E63" s="140" t="n"/>
      <c r="F63" s="140" t="n"/>
      <c r="G63" s="140" t="n"/>
      <c r="H63" s="140" t="n"/>
      <c r="I63" s="140" t="n"/>
      <c r="J63" s="140" t="n"/>
      <c r="K63" s="140" t="n"/>
      <c r="L63" s="141" t="n"/>
      <c r="M63" s="55" t="n"/>
      <c r="N63" s="55" t="n"/>
    </row>
    <row r="64" ht="31.95" customHeight="1" s="128">
      <c r="B64" s="52" t="inlineStr">
        <is>
          <t>Beneficiu estimat (cost EPR, conformitate, imagine)</t>
        </is>
      </c>
      <c r="C64" s="139" t="n"/>
      <c r="D64" s="140" t="n"/>
      <c r="E64" s="140" t="n"/>
      <c r="F64" s="140" t="n"/>
      <c r="G64" s="140" t="n"/>
      <c r="H64" s="140" t="n"/>
      <c r="I64" s="140" t="n"/>
      <c r="J64" s="140" t="n"/>
      <c r="K64" s="140" t="n"/>
      <c r="L64" s="141" t="n"/>
      <c r="M64" s="55" t="n"/>
      <c r="N64" s="55" t="n"/>
    </row>
    <row r="65" ht="30" customHeight="1" s="128">
      <c r="B65" s="52" t="inlineStr">
        <is>
          <t>Termen legal relevant / urgenta</t>
        </is>
      </c>
      <c r="C65" s="142" t="n"/>
      <c r="D65" s="143" t="n"/>
      <c r="E65" s="143" t="n"/>
      <c r="F65" s="143" t="n"/>
      <c r="G65" s="143" t="n"/>
      <c r="H65" s="143" t="n"/>
      <c r="I65" s="143" t="n"/>
      <c r="J65" s="143" t="n"/>
      <c r="K65" s="143" t="n"/>
      <c r="L65" s="144" t="n"/>
      <c r="M65" s="55" t="n"/>
      <c r="N65" s="55" t="n"/>
    </row>
    <row r="67" ht="19.5" customHeight="1" s="128">
      <c r="B67" s="35" t="inlineStr">
        <is>
          <t>7. Comercial si pasi urmatori — sectiune interna MIRALEDO</t>
        </is>
      </c>
      <c r="C67" s="35" t="n"/>
      <c r="D67" s="35" t="n"/>
      <c r="E67" s="36" t="n"/>
      <c r="F67" s="36" t="n"/>
      <c r="G67" s="36" t="n"/>
      <c r="H67" s="36" t="n"/>
      <c r="I67" s="36" t="n"/>
      <c r="J67" s="36" t="n"/>
      <c r="K67" s="36" t="n"/>
      <c r="L67" s="36" t="n"/>
      <c r="M67" s="51" t="n"/>
      <c r="N67" s="51" t="n"/>
    </row>
    <row r="68" ht="30" customHeight="1" s="128">
      <c r="B68" s="52" t="inlineStr">
        <is>
          <t>Pret tinta client (unitate completa, EUR / 1000 buc)</t>
        </is>
      </c>
      <c r="C68" s="139" t="n"/>
      <c r="D68" s="140" t="n"/>
      <c r="E68" s="140" t="n"/>
      <c r="F68" s="140" t="n"/>
      <c r="G68" s="140" t="n"/>
      <c r="H68" s="140" t="n"/>
      <c r="I68" s="140" t="n"/>
      <c r="J68" s="140" t="n"/>
      <c r="K68" s="140" t="n"/>
      <c r="L68" s="141" t="n"/>
      <c r="M68" s="55" t="n"/>
      <c r="N68" s="55" t="n"/>
    </row>
    <row r="69" ht="30" customHeight="1" s="128">
      <c r="B69" s="52" t="inlineStr">
        <is>
          <t>Conditii de livrare (Incoterms)</t>
        </is>
      </c>
      <c r="C69" s="139" t="n"/>
      <c r="D69" s="140" t="n"/>
      <c r="E69" s="140" t="n"/>
      <c r="F69" s="140" t="n"/>
      <c r="G69" s="140" t="n"/>
      <c r="H69" s="140" t="n"/>
      <c r="I69" s="140" t="n"/>
      <c r="J69" s="140" t="n"/>
      <c r="K69" s="140" t="n"/>
      <c r="L69" s="141" t="n"/>
      <c r="M69" s="55" t="n"/>
      <c r="N69" s="55" t="n"/>
    </row>
    <row r="70" ht="31.95" customHeight="1" s="128">
      <c r="B70" s="52" t="inlineStr">
        <is>
          <t>Problema / nevoie identificata la client</t>
        </is>
      </c>
      <c r="C70" s="139" t="n"/>
      <c r="D70" s="140" t="n"/>
      <c r="E70" s="140" t="n"/>
      <c r="F70" s="140" t="n"/>
      <c r="G70" s="140" t="n"/>
      <c r="H70" s="140" t="n"/>
      <c r="I70" s="140" t="n"/>
      <c r="J70" s="140" t="n"/>
      <c r="K70" s="140" t="n"/>
      <c r="L70" s="141" t="n"/>
      <c r="M70" s="55" t="n"/>
      <c r="N70" s="55" t="n"/>
    </row>
    <row r="71" ht="31.95" customHeight="1" s="128">
      <c r="B71" s="52" t="inlineStr">
        <is>
          <t>Stadiu pipeline (vezi Sales Pipeline CRM)</t>
        </is>
      </c>
      <c r="C71" s="139" t="n"/>
      <c r="D71" s="140" t="n"/>
      <c r="E71" s="140" t="n"/>
      <c r="F71" s="140" t="n"/>
      <c r="G71" s="140" t="n"/>
      <c r="H71" s="140" t="n"/>
      <c r="I71" s="140" t="n"/>
      <c r="J71" s="140" t="n"/>
      <c r="K71" s="140" t="n"/>
      <c r="L71" s="141" t="n"/>
      <c r="M71" s="55" t="n"/>
      <c r="N71" s="55" t="n"/>
    </row>
    <row r="72" ht="30" customHeight="1" s="128">
      <c r="B72" s="52" t="inlineStr">
        <is>
          <t>Urmatoarea actiune</t>
        </is>
      </c>
      <c r="C72" s="139" t="n"/>
      <c r="D72" s="140" t="n"/>
      <c r="E72" s="140" t="n"/>
      <c r="F72" s="140" t="n"/>
      <c r="G72" s="140" t="n"/>
      <c r="H72" s="140" t="n"/>
      <c r="I72" s="140" t="n"/>
      <c r="J72" s="140" t="n"/>
      <c r="K72" s="140" t="n"/>
      <c r="L72" s="141" t="n"/>
      <c r="M72" s="55" t="n"/>
      <c r="N72" s="55" t="n"/>
    </row>
    <row r="73" ht="30" customHeight="1" s="128">
      <c r="B73" s="52" t="inlineStr">
        <is>
          <t>Data urmatorului follow-up</t>
        </is>
      </c>
      <c r="C73" s="142" t="n"/>
      <c r="D73" s="143" t="n"/>
      <c r="E73" s="143" t="n"/>
      <c r="F73" s="143" t="n"/>
      <c r="G73" s="143" t="n"/>
      <c r="H73" s="143" t="n"/>
      <c r="I73" s="143" t="n"/>
      <c r="J73" s="143" t="n"/>
      <c r="K73" s="143" t="n"/>
      <c r="L73" s="144" t="n"/>
      <c r="M73" s="55" t="n"/>
      <c r="N73" s="55" t="n"/>
    </row>
    <row r="76" ht="18" customHeight="1" s="128">
      <c r="B76" s="54" t="inlineStr">
        <is>
          <t>Observatii</t>
        </is>
      </c>
      <c r="C76" s="155" t="n"/>
      <c r="D76" s="140" t="n"/>
      <c r="E76" s="140" t="n"/>
      <c r="F76" s="140" t="n"/>
      <c r="G76" s="140" t="n"/>
      <c r="H76" s="140" t="n"/>
      <c r="I76" s="140" t="n"/>
      <c r="J76" s="140" t="n"/>
      <c r="K76" s="140" t="n"/>
      <c r="L76" s="141" t="n"/>
      <c r="M76" s="4" t="n"/>
      <c r="N76" s="4" t="n"/>
    </row>
    <row r="77" ht="18" customHeight="1" s="128">
      <c r="C77" s="156" t="n"/>
      <c r="D77" s="157" t="n"/>
      <c r="E77" s="157" t="n"/>
      <c r="F77" s="157" t="n"/>
      <c r="G77" s="157" t="n"/>
      <c r="H77" s="157" t="n"/>
      <c r="I77" s="157" t="n"/>
      <c r="J77" s="157" t="n"/>
      <c r="K77" s="157" t="n"/>
      <c r="L77" s="158" t="n"/>
      <c r="M77" s="4" t="n"/>
      <c r="N77" s="4" t="n"/>
    </row>
    <row r="78" ht="18" customHeight="1" s="128">
      <c r="C78" s="159" t="n"/>
      <c r="D78" s="160" t="n"/>
      <c r="E78" s="160" t="n"/>
      <c r="F78" s="160" t="n"/>
      <c r="G78" s="160" t="n"/>
      <c r="H78" s="160" t="n"/>
      <c r="I78" s="160" t="n"/>
      <c r="J78" s="160" t="n"/>
      <c r="K78" s="160" t="n"/>
      <c r="L78" s="161" t="n"/>
      <c r="M78" s="4" t="n"/>
      <c r="N78" s="4" t="n"/>
    </row>
  </sheetData>
  <sheetProtection selectLockedCells="0" selectUnlockedCells="0" sheet="1" objects="1" insertRows="1" insertHyperlinks="1" autoFilter="1" scenarios="1" formatColumns="0" deleteColumns="1" insertColumns="1" pivotTables="1" deleteRows="1" formatCells="1" formatRows="0" sort="1"/>
  <mergeCells count="54">
    <mergeCell ref="C71:L71"/>
    <mergeCell ref="E12:L12"/>
    <mergeCell ref="E28:G28"/>
    <mergeCell ref="C61:L61"/>
    <mergeCell ref="C39:L39"/>
    <mergeCell ref="C52:L52"/>
    <mergeCell ref="C70:L70"/>
    <mergeCell ref="C8:L8"/>
    <mergeCell ref="C48:L48"/>
    <mergeCell ref="C7:L7"/>
    <mergeCell ref="E14:L14"/>
    <mergeCell ref="E30:G30"/>
    <mergeCell ref="C76:L78"/>
    <mergeCell ref="B29:D29"/>
    <mergeCell ref="C38:L38"/>
    <mergeCell ref="C72:L72"/>
    <mergeCell ref="B56:L56"/>
    <mergeCell ref="C57:L57"/>
    <mergeCell ref="C37:L37"/>
    <mergeCell ref="B28:D28"/>
    <mergeCell ref="C53:L53"/>
    <mergeCell ref="C69:L69"/>
    <mergeCell ref="C49:L49"/>
    <mergeCell ref="E10:L10"/>
    <mergeCell ref="C68:L68"/>
    <mergeCell ref="C34:L34"/>
    <mergeCell ref="B30:D30"/>
    <mergeCell ref="E13:L13"/>
    <mergeCell ref="C6:L6"/>
    <mergeCell ref="C62:L62"/>
    <mergeCell ref="C42:L42"/>
    <mergeCell ref="C58:L58"/>
    <mergeCell ref="C5:L5"/>
    <mergeCell ref="C73:L73"/>
    <mergeCell ref="C4:L4"/>
    <mergeCell ref="C64:L64"/>
    <mergeCell ref="E11:L11"/>
    <mergeCell ref="B26:D26"/>
    <mergeCell ref="C35:L35"/>
    <mergeCell ref="C63:L63"/>
    <mergeCell ref="C65:L65"/>
    <mergeCell ref="C47:L47"/>
    <mergeCell ref="C50:L50"/>
    <mergeCell ref="C41:L41"/>
    <mergeCell ref="C40:L40"/>
    <mergeCell ref="B33:L33"/>
    <mergeCell ref="B27:D27"/>
    <mergeCell ref="C59:L59"/>
    <mergeCell ref="C43:L43"/>
    <mergeCell ref="C51:L51"/>
    <mergeCell ref="C46:L46"/>
    <mergeCell ref="E29:G29"/>
    <mergeCell ref="C60:L60"/>
    <mergeCell ref="C36:L36"/>
  </mergeCells>
  <dataValidations count="6">
    <dataValidation sqref="E18:E25" showDropDown="0" showInputMessage="1" showErrorMessage="1" allowBlank="1" errorTitle="Valoare invalida" error="Greutatea se scrie in grame, ca numar pozitiv (ex: 12 sau 1,5)." type="decimal">
      <formula1>0</formula1>
      <formula2>100000</formula2>
    </dataValidation>
    <dataValidation sqref="F18:F25" showDropDown="0" showInputMessage="1" showErrorMessage="1" allowBlank="1" errorTitle="Valoare invalida" error="Scrieti un procent intre 0% si 100% (ex: 60%)." type="decimal">
      <formula1>0</formula1>
      <formula2>1</formula2>
    </dataValidation>
    <dataValidation sqref="H18:H25" showDropDown="0" showInputMessage="1" showErrorMessage="1" allowBlank="1" errorTitle="Valoare invalida" error="Scrieti un procent intre 0% si 100% (ex: 30%)." type="decimal">
      <formula1>0</formula1>
      <formula2>1</formula2>
    </dataValidation>
    <dataValidation sqref="C11:C14" showDropDown="0" showInputMessage="1" showErrorMessage="1" allowBlank="1" errorTitle="Valoare invalida" error="Scrieti volumul anual ca numar (buc/an), fara text." type="decimal" operator="greaterThanOrEqual">
      <formula1>0</formula1>
    </dataValidation>
    <dataValidation sqref="C35" showDropDown="0" showInputMessage="1" showErrorMessage="1" allowBlank="1" errorTitle="Valoare invalida" error="Valoarea nu este in lista. Puteti continua daca este intentionat." type="list" errorStyle="information">
      <formula1>"Alimentar,Farma,Cosmetic,Supliment alimentar,Altul"</formula1>
    </dataValidation>
    <dataValidation sqref="K18:K25" showDropDown="0" showInputMessage="1" showErrorMessage="1" allowBlank="1" errorTitle="Valoare invalida" error="Scrieti pretul ca numar in EUR / 1000 buc (ex: 300)." type="decimal" operator="greaterThanOrEqual">
      <formula1>0</formula1>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2:N78"/>
  <sheetViews>
    <sheetView showGridLines="0" topLeftCell="A17" zoomScaleNormal="100" workbookViewId="0">
      <selection activeCell="A1" sqref="A1"/>
    </sheetView>
  </sheetViews>
  <sheetFormatPr baseColWidth="8" defaultColWidth="8.6640625" defaultRowHeight="14.4"/>
  <cols>
    <col width="3" customWidth="1" style="128" min="1" max="1"/>
    <col width="38.88671875" customWidth="1" style="128" min="2" max="2"/>
    <col width="18.5546875" customWidth="1" style="128" min="3" max="3"/>
    <col width="15.77734375" customWidth="1" style="128" min="4" max="4"/>
    <col width="11.44140625" customWidth="1" style="128" min="5" max="5"/>
    <col width="13" customWidth="1" style="128" min="6" max="6"/>
    <col width="12.5546875" customWidth="1" style="128" min="7" max="7"/>
    <col width="13.33203125" customWidth="1" style="128" min="8" max="8"/>
    <col width="15.77734375" customWidth="1" style="128" min="9" max="9"/>
    <col width="14.77734375" customWidth="1" style="128" min="10" max="10"/>
    <col width="17.5546875" customWidth="1" style="128" min="11" max="11"/>
    <col width="27.77734375" customWidth="1" style="128" min="12" max="12"/>
    <col width="11.109375" customWidth="1" style="128" min="13" max="13"/>
    <col width="25.88671875" customWidth="1" style="128" min="14" max="14"/>
    <col width="3" customWidth="1" style="128" min="15" max="15"/>
  </cols>
  <sheetData>
    <row r="1" ht="15" customHeight="1" s="128"/>
    <row r="2" ht="27.75" customHeight="1" s="128">
      <c r="B2" s="129" t="inlineStr">
        <is>
          <t>Fisa de analiza — unitate de ambalaj</t>
        </is>
      </c>
      <c r="C2" s="129" t="n"/>
      <c r="D2" s="129" t="n"/>
      <c r="E2" s="34" t="n"/>
      <c r="F2" s="34" t="n"/>
      <c r="G2" s="34" t="n"/>
      <c r="H2" s="34" t="n"/>
      <c r="I2" s="34" t="n"/>
      <c r="J2" s="34" t="n"/>
      <c r="K2" s="34" t="n"/>
      <c r="L2" s="34" t="n"/>
    </row>
    <row r="3" ht="19.5" customHeight="1" s="128">
      <c r="B3" s="35" t="inlineStr">
        <is>
          <t>1. Identificare unitate de ambalaj</t>
        </is>
      </c>
      <c r="C3" s="35" t="n"/>
      <c r="D3" s="35" t="n"/>
      <c r="E3" s="36" t="n"/>
      <c r="F3" s="36" t="n"/>
      <c r="G3" s="36" t="n"/>
      <c r="H3" s="36" t="n"/>
      <c r="I3" s="36" t="n"/>
      <c r="J3" s="36" t="n"/>
      <c r="K3" s="36" t="n"/>
      <c r="L3" s="36" t="n"/>
      <c r="M3" s="51" t="n"/>
      <c r="N3" s="51" t="n"/>
    </row>
    <row r="4" ht="31.95" customHeight="1" s="128">
      <c r="B4" s="52" t="inlineStr">
        <is>
          <t>Denumire unitate (pe baza componentelor)</t>
        </is>
      </c>
      <c r="C4" s="162" t="inlineStr">
        <is>
          <t>Borcan sticla 50ml transparent + capac alb PP + eticheta hartie</t>
        </is>
      </c>
      <c r="D4" s="140" t="n"/>
      <c r="E4" s="140" t="n"/>
      <c r="F4" s="140" t="n"/>
      <c r="G4" s="140" t="n"/>
      <c r="H4" s="140" t="n"/>
      <c r="I4" s="140" t="n"/>
      <c r="J4" s="140" t="n"/>
      <c r="K4" s="140" t="n"/>
      <c r="L4" s="141" t="n"/>
      <c r="M4" s="57" t="n"/>
      <c r="N4" s="57" t="n"/>
    </row>
    <row r="5" ht="31.95" customHeight="1" s="128">
      <c r="B5" s="52" t="inlineStr">
        <is>
          <t>Furnizor/configuratie de referinta (daca exista)</t>
        </is>
      </c>
      <c r="C5" s="163" t="inlineStr">
        <is>
          <t>Furnizor X (flacon) / Furnizor Y (capac)</t>
        </is>
      </c>
      <c r="D5" s="143" t="n"/>
      <c r="E5" s="143" t="n"/>
      <c r="F5" s="143" t="n"/>
      <c r="G5" s="143" t="n"/>
      <c r="H5" s="143" t="n"/>
      <c r="I5" s="143" t="n"/>
      <c r="J5" s="143" t="n"/>
      <c r="K5" s="143" t="n"/>
      <c r="L5" s="144" t="n"/>
      <c r="M5" s="57" t="n"/>
      <c r="N5" s="57" t="n"/>
    </row>
    <row r="6" ht="30" customHeight="1" s="128">
      <c r="B6" s="52" t="inlineStr">
        <is>
          <t>Capacitate nominala (ml / g)</t>
        </is>
      </c>
      <c r="C6" s="164" t="inlineStr">
        <is>
          <t>50 ml</t>
        </is>
      </c>
      <c r="D6" s="143" t="n"/>
      <c r="E6" s="143" t="n"/>
      <c r="F6" s="143" t="n"/>
      <c r="G6" s="143" t="n"/>
      <c r="H6" s="143" t="n"/>
      <c r="I6" s="143" t="n"/>
      <c r="J6" s="143" t="n"/>
      <c r="K6" s="143" t="n"/>
      <c r="L6" s="144" t="n"/>
      <c r="M6" s="57" t="n"/>
      <c r="N6" s="57" t="n"/>
    </row>
    <row r="7" ht="34.05" customHeight="1" s="128">
      <c r="B7" s="52" t="inlineStr">
        <is>
          <t>Dimensiuni principale (diametru x inaltime, mm)</t>
        </is>
      </c>
      <c r="C7" s="164" t="inlineStr">
        <is>
          <t>Ø 55 mm x H 60 mm</t>
        </is>
      </c>
      <c r="D7" s="143" t="n"/>
      <c r="E7" s="143" t="n"/>
      <c r="F7" s="143" t="n"/>
      <c r="G7" s="143" t="n"/>
      <c r="H7" s="143" t="n"/>
      <c r="I7" s="143" t="n"/>
      <c r="J7" s="143" t="n"/>
      <c r="K7" s="143" t="n"/>
      <c r="L7" s="144" t="n"/>
      <c r="M7" s="57" t="n"/>
      <c r="N7" s="57" t="n"/>
    </row>
    <row r="8" ht="34.05" customHeight="1" s="128">
      <c r="B8" s="52" t="inlineStr">
        <is>
          <t>Documente disponibile (fisa tehnica, desen, poze, declaratii)</t>
        </is>
      </c>
      <c r="C8" s="164" t="inlineStr">
        <is>
          <t>Fisa tehnica: da (Furnizor X); desen tehnic: nu</t>
        </is>
      </c>
      <c r="D8" s="143" t="n"/>
      <c r="E8" s="143" t="n"/>
      <c r="F8" s="143" t="n"/>
      <c r="G8" s="143" t="n"/>
      <c r="H8" s="143" t="n"/>
      <c r="I8" s="143" t="n"/>
      <c r="J8" s="143" t="n"/>
      <c r="K8" s="143" t="n"/>
      <c r="L8" s="144" t="n"/>
      <c r="M8" s="57" t="n"/>
      <c r="N8" s="57" t="n"/>
    </row>
    <row r="9" ht="19.5" customHeight="1" s="128">
      <c r="B9" s="35" t="inlineStr">
        <is>
          <t>2. Produse / SKU-uri care folosesc aceasta unitate</t>
        </is>
      </c>
      <c r="C9" s="35" t="n"/>
      <c r="D9" s="35" t="n"/>
      <c r="E9" s="36" t="n"/>
      <c r="F9" s="36" t="n"/>
      <c r="G9" s="36" t="n"/>
      <c r="H9" s="36" t="n"/>
      <c r="I9" s="36" t="n"/>
      <c r="J9" s="36" t="n"/>
      <c r="K9" s="36" t="n"/>
      <c r="L9" s="36" t="n"/>
      <c r="M9" s="51" t="n"/>
      <c r="N9" s="51" t="n"/>
    </row>
    <row r="10" ht="30" customHeight="1" s="128">
      <c r="B10" s="3" t="inlineStr">
        <is>
          <t>Denumire produs / SKU</t>
        </is>
      </c>
      <c r="C10" s="102" t="inlineStr">
        <is>
          <t>Volum anual estimat (buc/an)</t>
        </is>
      </c>
      <c r="D10" s="102" t="inlineStr">
        <is>
          <t>Frecventa comenzilor</t>
        </is>
      </c>
      <c r="E10" s="102" t="inlineStr">
        <is>
          <t>Observatii</t>
        </is>
      </c>
      <c r="F10" s="146" t="n"/>
      <c r="G10" s="146" t="n"/>
      <c r="H10" s="146" t="n"/>
      <c r="I10" s="146" t="n"/>
      <c r="J10" s="146" t="n"/>
      <c r="K10" s="146" t="n"/>
      <c r="L10" s="146" t="n"/>
      <c r="M10" s="50" t="n"/>
      <c r="N10" s="50" t="n"/>
    </row>
    <row r="11" ht="30" customHeight="1" s="128">
      <c r="B11" s="46" t="inlineStr">
        <is>
          <t>Crema de fata 50ml</t>
        </is>
      </c>
      <c r="C11" s="71" t="n">
        <v>300000</v>
      </c>
      <c r="D11" s="56" t="inlineStr">
        <is>
          <t>Trimestrial</t>
        </is>
      </c>
      <c r="E11" s="120" t="inlineStr">
        <is>
          <t>-</t>
        </is>
      </c>
      <c r="F11" s="143" t="n"/>
      <c r="G11" s="143" t="n"/>
      <c r="H11" s="143" t="n"/>
      <c r="I11" s="143" t="n"/>
      <c r="J11" s="143" t="n"/>
      <c r="K11" s="143" t="n"/>
      <c r="L11" s="143" t="n"/>
      <c r="M11" s="58" t="n"/>
      <c r="N11" s="58" t="n"/>
    </row>
    <row r="12" ht="30" customHeight="1" s="128">
      <c r="B12" s="46" t="inlineStr">
        <is>
          <t>Ser facial 50ml (acelasi flacon)</t>
        </is>
      </c>
      <c r="C12" s="71" t="n">
        <v>120000</v>
      </c>
      <c r="D12" s="56" t="inlineStr">
        <is>
          <t>Trimestrial</t>
        </is>
      </c>
      <c r="E12" s="120" t="inlineStr">
        <is>
          <t>Eticheta diferita</t>
        </is>
      </c>
      <c r="F12" s="143" t="n"/>
      <c r="G12" s="143" t="n"/>
      <c r="H12" s="143" t="n"/>
      <c r="I12" s="143" t="n"/>
      <c r="J12" s="143" t="n"/>
      <c r="K12" s="143" t="n"/>
      <c r="L12" s="143" t="n"/>
      <c r="M12" s="58" t="n"/>
      <c r="N12" s="58" t="n"/>
    </row>
    <row r="13" ht="30" customHeight="1" s="128">
      <c r="B13" s="42" t="n"/>
      <c r="C13" s="67" t="n"/>
      <c r="D13" s="53" t="n"/>
      <c r="E13" s="104" t="n"/>
      <c r="F13" s="143" t="n"/>
      <c r="G13" s="143" t="n"/>
      <c r="H13" s="143" t="n"/>
      <c r="I13" s="143" t="n"/>
      <c r="J13" s="143" t="n"/>
      <c r="K13" s="143" t="n"/>
      <c r="L13" s="143" t="n"/>
      <c r="M13" s="55" t="n"/>
      <c r="N13" s="55" t="n"/>
    </row>
    <row r="14" ht="30" customHeight="1" s="128">
      <c r="B14" s="64" t="n"/>
      <c r="C14" s="68" t="n"/>
      <c r="D14" s="53" t="n"/>
      <c r="E14" s="104" t="n"/>
      <c r="F14" s="143" t="n"/>
      <c r="G14" s="143" t="n"/>
      <c r="H14" s="143" t="n"/>
      <c r="I14" s="143" t="n"/>
      <c r="J14" s="143" t="n"/>
      <c r="K14" s="143" t="n"/>
      <c r="L14" s="143" t="n"/>
      <c r="M14" s="55" t="n"/>
      <c r="N14" s="55" t="n"/>
    </row>
    <row r="15" ht="24" customHeight="1" s="128">
      <c r="B15" s="65" t="inlineStr">
        <is>
          <t>TOTAL volum anual unitate (automat)</t>
        </is>
      </c>
      <c r="C15" s="66">
        <f>SUM(C11:C14)</f>
        <v/>
      </c>
    </row>
    <row r="16" ht="19.5" customHeight="1" s="128">
      <c r="B16" s="35" t="inlineStr">
        <is>
          <t>3. Componentele unitatii de ambalaj</t>
        </is>
      </c>
      <c r="C16" s="35" t="n"/>
      <c r="D16" s="35" t="n"/>
      <c r="E16" s="35" t="n"/>
      <c r="F16" s="35" t="n"/>
      <c r="G16" s="35" t="n"/>
      <c r="H16" s="35" t="n"/>
      <c r="I16" s="35" t="n"/>
      <c r="J16" s="35" t="n"/>
      <c r="K16" s="35" t="n"/>
      <c r="L16" s="35" t="n"/>
      <c r="M16" s="63" t="n"/>
      <c r="N16" s="63" t="n"/>
    </row>
    <row r="17" ht="49.95" customHeight="1" s="128">
      <c r="B17" s="3" t="inlineStr">
        <is>
          <t>Denumire componenta</t>
        </is>
      </c>
      <c r="C17" s="3" t="inlineStr">
        <is>
          <t>Material</t>
        </is>
      </c>
      <c r="D17" s="3" t="inlineStr">
        <is>
          <t>Culoare</t>
        </is>
      </c>
      <c r="E17" s="3" t="inlineStr">
        <is>
          <t>Greutate (g)</t>
        </is>
      </c>
      <c r="F17" s="3" t="inlineStr">
        <is>
          <t>% reciclabil (0-100%)</t>
        </is>
      </c>
      <c r="G17" s="3" t="inlineStr">
        <is>
          <t>Masa reciclabila (g)</t>
        </is>
      </c>
      <c r="H17" s="3" t="inlineStr">
        <is>
          <t>% continut reciclat (PCR)</t>
        </is>
      </c>
      <c r="I17" s="3" t="inlineStr">
        <is>
          <t>Furnizor</t>
        </is>
      </c>
      <c r="J17" s="3" t="inlineStr">
        <is>
          <t>Tara origine</t>
        </is>
      </c>
      <c r="K17" s="3" t="inlineStr">
        <is>
          <t>Pret unitar (EUR / 1000 buc)</t>
        </is>
      </c>
      <c r="L17" s="102" t="inlineStr">
        <is>
          <t>Observatii / risc</t>
        </is>
      </c>
    </row>
    <row r="18" ht="34.05" customHeight="1" s="128">
      <c r="B18" s="47" t="inlineStr">
        <is>
          <t>Flacon/borcan</t>
        </is>
      </c>
      <c r="C18" s="48" t="inlineStr">
        <is>
          <t>Sticla flint</t>
        </is>
      </c>
      <c r="D18" s="48" t="inlineStr">
        <is>
          <t>Transparent</t>
        </is>
      </c>
      <c r="E18" s="48" t="n">
        <v>85</v>
      </c>
      <c r="F18" s="49" t="n">
        <v>1</v>
      </c>
      <c r="G18" s="147">
        <f>IF(OR(E18="",F18=""),"",E18*F18)</f>
        <v/>
      </c>
      <c r="H18" s="49" t="n"/>
      <c r="I18" s="48" t="inlineStr">
        <is>
          <t>Furnizor X</t>
        </is>
      </c>
      <c r="J18" s="48" t="inlineStr">
        <is>
          <t>UE</t>
        </is>
      </c>
      <c r="K18" s="72" t="n">
        <v>300</v>
      </c>
      <c r="L18" s="120" t="n"/>
    </row>
    <row r="19" ht="34.05" customHeight="1" s="128">
      <c r="B19" s="47" t="inlineStr">
        <is>
          <t>Capac</t>
        </is>
      </c>
      <c r="C19" s="48" t="inlineStr">
        <is>
          <t>PP</t>
        </is>
      </c>
      <c r="D19" s="48" t="inlineStr">
        <is>
          <t>Alb</t>
        </is>
      </c>
      <c r="E19" s="48" t="n">
        <v>12</v>
      </c>
      <c r="F19" s="49" t="n">
        <v>0.6</v>
      </c>
      <c r="G19" s="147">
        <f>IF(OR(E19="",F19=""),"",E19*F19)</f>
        <v/>
      </c>
      <c r="H19" s="49" t="n">
        <v>0</v>
      </c>
      <c r="I19" s="48" t="inlineStr">
        <is>
          <t>Furnizor Y</t>
        </is>
      </c>
      <c r="J19" s="48" t="inlineStr">
        <is>
          <t>UE</t>
        </is>
      </c>
      <c r="K19" s="72" t="n">
        <v>50</v>
      </c>
      <c r="L19" s="120" t="n"/>
    </row>
    <row r="20" ht="34.05" customHeight="1" s="128">
      <c r="B20" s="47" t="inlineStr">
        <is>
          <t>Eticheta</t>
        </is>
      </c>
      <c r="C20" s="48" t="inlineStr">
        <is>
          <t>Hartie + adeziv</t>
        </is>
      </c>
      <c r="D20" s="48" t="inlineStr">
        <is>
          <t>Alb/print</t>
        </is>
      </c>
      <c r="E20" s="48" t="n">
        <v>1.5</v>
      </c>
      <c r="F20" s="49" t="n">
        <v>0</v>
      </c>
      <c r="G20" s="147">
        <f>IF(OR(E20="",F20=""),"",E20*F20)</f>
        <v/>
      </c>
      <c r="H20" s="49" t="n"/>
      <c r="I20" s="48" t="inlineStr">
        <is>
          <t>Furnizor Z</t>
        </is>
      </c>
      <c r="J20" s="48" t="inlineStr">
        <is>
          <t>Romania</t>
        </is>
      </c>
      <c r="K20" s="72" t="n">
        <v>20</v>
      </c>
      <c r="L20" s="120" t="inlineStr">
        <is>
          <t>Lipita direct - nu se separa manual</t>
        </is>
      </c>
    </row>
    <row r="21" ht="34.05" customHeight="1" s="128">
      <c r="B21" s="43" t="n"/>
      <c r="C21" s="44" t="n"/>
      <c r="D21" s="44" t="n"/>
      <c r="E21" s="44" t="n"/>
      <c r="F21" s="45" t="n"/>
      <c r="G21" s="147">
        <f>IF(OR(E21="",F21=""),"",E21*F21)</f>
        <v/>
      </c>
      <c r="H21" s="45" t="n"/>
      <c r="I21" s="44" t="n"/>
      <c r="J21" s="44" t="n"/>
      <c r="K21" s="69" t="n"/>
      <c r="L21" s="59" t="n"/>
    </row>
    <row r="22" ht="34.05" customHeight="1" s="128">
      <c r="B22" s="43" t="n"/>
      <c r="C22" s="44" t="n"/>
      <c r="D22" s="44" t="n"/>
      <c r="E22" s="44" t="n"/>
      <c r="F22" s="45" t="n"/>
      <c r="G22" s="147">
        <f>IF(OR(E22="",F22=""),"",E22*F22)</f>
        <v/>
      </c>
      <c r="H22" s="45" t="n"/>
      <c r="I22" s="44" t="n"/>
      <c r="J22" s="44" t="n"/>
      <c r="K22" s="69" t="n"/>
      <c r="L22" s="59" t="n"/>
    </row>
    <row r="23" ht="34.05" customHeight="1" s="128">
      <c r="B23" s="43" t="n"/>
      <c r="C23" s="44" t="n"/>
      <c r="D23" s="44" t="n"/>
      <c r="E23" s="44" t="n"/>
      <c r="F23" s="45" t="n"/>
      <c r="G23" s="147">
        <f>IF(OR(E23="",F23=""),"",E23*F23)</f>
        <v/>
      </c>
      <c r="H23" s="45" t="n"/>
      <c r="I23" s="44" t="n"/>
      <c r="J23" s="44" t="n"/>
      <c r="K23" s="69" t="n"/>
      <c r="L23" s="59" t="n"/>
    </row>
    <row r="24" ht="34.05" customHeight="1" s="128">
      <c r="B24" s="43" t="n"/>
      <c r="C24" s="44" t="n"/>
      <c r="D24" s="44" t="n"/>
      <c r="E24" s="44" t="n"/>
      <c r="F24" s="45" t="n"/>
      <c r="G24" s="147">
        <f>IF(OR(E24="",F24=""),"",E24*F24)</f>
        <v/>
      </c>
      <c r="H24" s="45" t="n"/>
      <c r="I24" s="44" t="n"/>
      <c r="J24" s="44" t="n"/>
      <c r="K24" s="69" t="n"/>
      <c r="L24" s="59" t="n"/>
    </row>
    <row r="25" ht="34.05" customHeight="1" s="128">
      <c r="B25" s="43" t="n"/>
      <c r="C25" s="44" t="n"/>
      <c r="D25" s="44" t="n"/>
      <c r="E25" s="44" t="n"/>
      <c r="F25" s="45" t="n"/>
      <c r="G25" s="147">
        <f>IF(OR(E25="",F25=""),"",E25*F25)</f>
        <v/>
      </c>
      <c r="H25" s="45" t="n"/>
      <c r="I25" s="44" t="n"/>
      <c r="J25" s="44" t="n"/>
      <c r="K25" s="69" t="n"/>
      <c r="L25" s="59" t="n"/>
    </row>
    <row r="26" ht="19.5" customHeight="1" s="128">
      <c r="B26" s="116" t="inlineStr">
        <is>
          <t>TOTAL unitate (greutate si masa reciclabila)</t>
        </is>
      </c>
      <c r="C26" s="146" t="n"/>
      <c r="D26" s="131" t="n"/>
      <c r="E26" s="148">
        <f>SUM(E18:E25)</f>
        <v/>
      </c>
      <c r="F26" s="40" t="n"/>
      <c r="G26" s="148">
        <f>SUM(G18:G25)</f>
        <v/>
      </c>
      <c r="H26" s="40" t="n"/>
      <c r="I26" s="40" t="n"/>
      <c r="J26" s="40" t="n"/>
      <c r="K26" s="40" t="n"/>
      <c r="L26" s="60" t="n"/>
      <c r="M26" s="61" t="n"/>
      <c r="N26" s="61" t="n"/>
    </row>
    <row r="27" ht="19.5" customHeight="1" s="128">
      <c r="B27" s="116" t="inlineStr">
        <is>
          <t>% reciclabil ponderat pe greutate (automat)</t>
        </is>
      </c>
      <c r="C27" s="146" t="n"/>
      <c r="D27" s="131" t="n"/>
      <c r="E27" s="149">
        <f>IFERROR(G26/E26,"-")</f>
        <v/>
      </c>
    </row>
    <row r="28" ht="30" customHeight="1" s="128">
      <c r="B28" s="116" t="inlineStr">
        <is>
          <t>Clasa de reciclabilitate calculata (A ≥95% / B ≥80% / C ≥70%)</t>
        </is>
      </c>
      <c r="C28" s="146" t="n"/>
      <c r="D28" s="131" t="n"/>
      <c r="E28" s="150">
        <f>IF(NOT(ISNUMBER(E27)),"-",IF(E27&gt;=0.95,"A",IF(E27&gt;=0.8,"B",IF(E27&gt;=0.7,"C","Sub 70% - nereciclabil"))))</f>
        <v/>
      </c>
      <c r="F28" s="146" t="n"/>
      <c r="G28" s="131" t="n"/>
    </row>
    <row r="29" ht="34.05" customHeight="1" s="128">
      <c r="B29" s="151" t="inlineStr">
        <is>
          <t>Cost total componente (EUR / 1000 buc) - suma preturilor completate (automat)</t>
        </is>
      </c>
      <c r="C29" s="146" t="n"/>
      <c r="D29" s="131" t="n"/>
      <c r="E29" s="152">
        <f>SUM(K18:K25)</f>
        <v/>
      </c>
      <c r="F29" s="146" t="n"/>
      <c r="G29" s="131" t="n"/>
      <c r="H29" s="70" t="n"/>
      <c r="I29" s="70" t="n"/>
      <c r="J29" s="70" t="n"/>
      <c r="K29" s="70" t="n"/>
      <c r="L29" s="70" t="n"/>
    </row>
    <row r="30" ht="34.05" customHeight="1" s="128">
      <c r="B30" s="151" t="inlineStr">
        <is>
          <t>Material total pus pe piata (kg/an) = greutate x volum anual (automat)</t>
        </is>
      </c>
      <c r="C30" s="146" t="n"/>
      <c r="D30" s="131" t="n"/>
      <c r="E30" s="153">
        <f>IF(OR(N(C15)=0,N(E26)=0),"-",E26*C15/1000)</f>
        <v/>
      </c>
      <c r="F30" s="146" t="n"/>
      <c r="G30" s="131" t="n"/>
      <c r="H30" s="70" t="n"/>
      <c r="I30" s="70" t="n"/>
      <c r="J30" s="70" t="n"/>
      <c r="K30" s="70" t="n"/>
      <c r="L30" s="70" t="n"/>
    </row>
    <row r="32" ht="19.5" customHeight="1" s="128">
      <c r="B32" s="35" t="inlineStr">
        <is>
          <t>4. Cerintele produsului/produselor ambalate</t>
        </is>
      </c>
      <c r="C32" s="35" t="n"/>
      <c r="D32" s="35" t="n"/>
      <c r="E32" s="36" t="n"/>
      <c r="F32" s="36" t="n"/>
      <c r="G32" s="36" t="n"/>
      <c r="H32" s="36" t="n"/>
      <c r="I32" s="36" t="n"/>
      <c r="J32" s="36" t="n"/>
      <c r="K32" s="36" t="n"/>
      <c r="L32" s="36" t="n"/>
      <c r="M32" s="51" t="n"/>
      <c r="N32" s="51" t="n"/>
    </row>
    <row r="33" ht="30" customHeight="1" s="128">
      <c r="B33" s="112" t="inlineStr">
        <is>
          <t>Daca SKU-urile din sectiunea 2 au cerinte diferite, noteaza diferentele in coloana 'Observatii' din tabelul SKU-urilor.</t>
        </is>
      </c>
      <c r="C33" s="154" t="n"/>
      <c r="D33" s="154" t="n"/>
      <c r="E33" s="154" t="n"/>
      <c r="F33" s="154" t="n"/>
      <c r="G33" s="154" t="n"/>
      <c r="H33" s="154" t="n"/>
      <c r="I33" s="154" t="n"/>
      <c r="J33" s="154" t="n"/>
      <c r="K33" s="154" t="n"/>
      <c r="L33" s="154" t="n"/>
      <c r="M33" s="82" t="n"/>
      <c r="N33" s="82" t="n"/>
    </row>
    <row r="34" ht="31.95" customHeight="1" s="128">
      <c r="B34" s="52" t="inlineStr">
        <is>
          <t>Tip produs (lichid / crema-gel / pudra / solid / altul)</t>
        </is>
      </c>
      <c r="C34" s="162" t="inlineStr">
        <is>
          <t>Crema (emulsie)</t>
        </is>
      </c>
      <c r="D34" s="140" t="n"/>
      <c r="E34" s="140" t="n"/>
      <c r="F34" s="140" t="n"/>
      <c r="G34" s="140" t="n"/>
      <c r="H34" s="140" t="n"/>
      <c r="I34" s="140" t="n"/>
      <c r="J34" s="140" t="n"/>
      <c r="K34" s="140" t="n"/>
      <c r="L34" s="141" t="n"/>
      <c r="M34" s="57" t="n"/>
      <c r="N34" s="57" t="n"/>
    </row>
    <row r="35" ht="46.95" customHeight="1" s="128">
      <c r="B35" s="52" t="inlineStr">
        <is>
          <t>Categorie reglementata a produsului (alimentar / farma / cosmetic / supliment / altul)</t>
        </is>
      </c>
      <c r="C35" s="164" t="inlineStr">
        <is>
          <t>Cosmetic</t>
        </is>
      </c>
      <c r="D35" s="143" t="n"/>
      <c r="E35" s="143" t="n"/>
      <c r="F35" s="143" t="n"/>
      <c r="G35" s="143" t="n"/>
      <c r="H35" s="143" t="n"/>
      <c r="I35" s="143" t="n"/>
      <c r="J35" s="143" t="n"/>
      <c r="K35" s="143" t="n"/>
      <c r="L35" s="144" t="n"/>
      <c r="M35" s="57" t="n"/>
      <c r="N35" s="57" t="n"/>
    </row>
    <row r="36" ht="46.95" customHeight="1" s="128">
      <c r="B36" s="52" t="inlineStr">
        <is>
          <t>Functii cerute ambalajului (pompa, picurator, spray, flip-top, sigiliu, protectie copii)</t>
        </is>
      </c>
      <c r="C36" s="164" t="inlineStr">
        <is>
          <t>Capac simplu, fara dozator</t>
        </is>
      </c>
      <c r="D36" s="143" t="n"/>
      <c r="E36" s="143" t="n"/>
      <c r="F36" s="143" t="n"/>
      <c r="G36" s="143" t="n"/>
      <c r="H36" s="143" t="n"/>
      <c r="I36" s="143" t="n"/>
      <c r="J36" s="143" t="n"/>
      <c r="K36" s="143" t="n"/>
      <c r="L36" s="144" t="n"/>
      <c r="M36" s="57" t="n"/>
      <c r="N36" s="57" t="n"/>
    </row>
    <row r="37" ht="30" customHeight="1" s="128">
      <c r="B37" s="52" t="inlineStr">
        <is>
          <t>Sensibilitate la oxigen</t>
        </is>
      </c>
      <c r="C37" s="162" t="inlineStr">
        <is>
          <t>Medie - necesita bariera O2</t>
        </is>
      </c>
      <c r="D37" s="140" t="n"/>
      <c r="E37" s="140" t="n"/>
      <c r="F37" s="140" t="n"/>
      <c r="G37" s="140" t="n"/>
      <c r="H37" s="140" t="n"/>
      <c r="I37" s="140" t="n"/>
      <c r="J37" s="140" t="n"/>
      <c r="K37" s="140" t="n"/>
      <c r="L37" s="141" t="n"/>
      <c r="M37" s="57" t="n"/>
      <c r="N37" s="57" t="n"/>
    </row>
    <row r="38" ht="30" customHeight="1" s="128">
      <c r="B38" s="52" t="inlineStr">
        <is>
          <t>Sensibilitate la lumina / UV</t>
        </is>
      </c>
      <c r="C38" s="162" t="inlineStr">
        <is>
          <t>Ridicata - recomandat ambalaj opac sau sticla colorata</t>
        </is>
      </c>
      <c r="D38" s="140" t="n"/>
      <c r="E38" s="140" t="n"/>
      <c r="F38" s="140" t="n"/>
      <c r="G38" s="140" t="n"/>
      <c r="H38" s="140" t="n"/>
      <c r="I38" s="140" t="n"/>
      <c r="J38" s="140" t="n"/>
      <c r="K38" s="140" t="n"/>
      <c r="L38" s="141" t="n"/>
      <c r="M38" s="57" t="n"/>
      <c r="N38" s="57" t="n"/>
    </row>
    <row r="39" ht="30" customHeight="1" s="128">
      <c r="B39" s="52" t="inlineStr">
        <is>
          <t>Sensibilitate la umiditate</t>
        </is>
      </c>
      <c r="C39" s="162" t="inlineStr">
        <is>
          <t>Scazuta</t>
        </is>
      </c>
      <c r="D39" s="140" t="n"/>
      <c r="E39" s="140" t="n"/>
      <c r="F39" s="140" t="n"/>
      <c r="G39" s="140" t="n"/>
      <c r="H39" s="140" t="n"/>
      <c r="I39" s="140" t="n"/>
      <c r="J39" s="140" t="n"/>
      <c r="K39" s="140" t="n"/>
      <c r="L39" s="141" t="n"/>
      <c r="M39" s="57" t="n"/>
      <c r="N39" s="57" t="n"/>
    </row>
    <row r="40" ht="31.95" customHeight="1" s="128">
      <c r="B40" s="52" t="inlineStr">
        <is>
          <t>Compatibilitate chimica necesara (grasimi, alcool, acizi, uleiuri)</t>
        </is>
      </c>
      <c r="C40" s="162" t="inlineStr">
        <is>
          <t>Contine faza uleioasa - testare migrare recomandata</t>
        </is>
      </c>
      <c r="D40" s="140" t="n"/>
      <c r="E40" s="140" t="n"/>
      <c r="F40" s="140" t="n"/>
      <c r="G40" s="140" t="n"/>
      <c r="H40" s="140" t="n"/>
      <c r="I40" s="140" t="n"/>
      <c r="J40" s="140" t="n"/>
      <c r="K40" s="140" t="n"/>
      <c r="L40" s="141" t="n"/>
      <c r="M40" s="57" t="n"/>
      <c r="N40" s="57" t="n"/>
    </row>
    <row r="41" ht="30" customHeight="1" s="128">
      <c r="B41" s="52" t="inlineStr">
        <is>
          <t>Temperatura de umplere</t>
        </is>
      </c>
      <c r="C41" s="162" t="inlineStr">
        <is>
          <t>Rece (sub 30°C)</t>
        </is>
      </c>
      <c r="D41" s="140" t="n"/>
      <c r="E41" s="140" t="n"/>
      <c r="F41" s="140" t="n"/>
      <c r="G41" s="140" t="n"/>
      <c r="H41" s="140" t="n"/>
      <c r="I41" s="140" t="n"/>
      <c r="J41" s="140" t="n"/>
      <c r="K41" s="140" t="n"/>
      <c r="L41" s="141" t="n"/>
      <c r="M41" s="57" t="n"/>
      <c r="N41" s="57" t="n"/>
    </row>
    <row r="42" ht="30" customHeight="1" s="128">
      <c r="B42" s="52" t="inlineStr">
        <is>
          <t>Temperatura / conditii de depozitare</t>
        </is>
      </c>
      <c r="C42" s="162" t="inlineStr">
        <is>
          <t>Temperatura camerei, ferit de lumina directa</t>
        </is>
      </c>
      <c r="D42" s="140" t="n"/>
      <c r="E42" s="140" t="n"/>
      <c r="F42" s="140" t="n"/>
      <c r="G42" s="140" t="n"/>
      <c r="H42" s="140" t="n"/>
      <c r="I42" s="140" t="n"/>
      <c r="J42" s="140" t="n"/>
      <c r="K42" s="140" t="n"/>
      <c r="L42" s="141" t="n"/>
      <c r="M42" s="57" t="n"/>
      <c r="N42" s="57" t="n"/>
    </row>
    <row r="43" ht="30" customHeight="1" s="128">
      <c r="B43" s="52" t="inlineStr">
        <is>
          <t>Valabilitate / shelf-life dorita</t>
        </is>
      </c>
      <c r="C43" s="163" t="inlineStr">
        <is>
          <t>24 luni</t>
        </is>
      </c>
      <c r="D43" s="143" t="n"/>
      <c r="E43" s="143" t="n"/>
      <c r="F43" s="143" t="n"/>
      <c r="G43" s="143" t="n"/>
      <c r="H43" s="143" t="n"/>
      <c r="I43" s="143" t="n"/>
      <c r="J43" s="143" t="n"/>
      <c r="K43" s="143" t="n"/>
      <c r="L43" s="144" t="n"/>
      <c r="M43" s="57" t="n"/>
      <c r="N43" s="57" t="n"/>
    </row>
    <row r="45" ht="19.5" customHeight="1" s="128">
      <c r="B45" s="35" t="inlineStr">
        <is>
          <t>5. Procesul de ambalare si utilajele clientului</t>
        </is>
      </c>
      <c r="C45" s="35" t="n"/>
      <c r="D45" s="35" t="n"/>
      <c r="E45" s="36" t="n"/>
      <c r="F45" s="36" t="n"/>
      <c r="G45" s="36" t="n"/>
      <c r="H45" s="36" t="n"/>
      <c r="I45" s="36" t="n"/>
      <c r="J45" s="36" t="n"/>
      <c r="K45" s="36" t="n"/>
      <c r="L45" s="36" t="n"/>
      <c r="M45" s="51" t="n"/>
      <c r="N45" s="51" t="n"/>
    </row>
    <row r="46" ht="31.95" customHeight="1" s="128">
      <c r="B46" s="52" t="inlineStr">
        <is>
          <t>Tip linie de ambalare (automata / semi-automata / manuala)</t>
        </is>
      </c>
      <c r="C46" s="162" t="inlineStr">
        <is>
          <t>Automata</t>
        </is>
      </c>
      <c r="D46" s="140" t="n"/>
      <c r="E46" s="140" t="n"/>
      <c r="F46" s="140" t="n"/>
      <c r="G46" s="140" t="n"/>
      <c r="H46" s="140" t="n"/>
      <c r="I46" s="140" t="n"/>
      <c r="J46" s="140" t="n"/>
      <c r="K46" s="140" t="n"/>
      <c r="L46" s="141" t="n"/>
      <c r="M46" s="57" t="n"/>
      <c r="N46" s="57" t="n"/>
    </row>
    <row r="47" ht="30" customHeight="1" s="128">
      <c r="B47" s="52" t="inlineStr">
        <is>
          <t>Viteza linie (buc/min)</t>
        </is>
      </c>
      <c r="C47" s="162" t="inlineStr">
        <is>
          <t>60 buc/min</t>
        </is>
      </c>
      <c r="D47" s="140" t="n"/>
      <c r="E47" s="140" t="n"/>
      <c r="F47" s="140" t="n"/>
      <c r="G47" s="140" t="n"/>
      <c r="H47" s="140" t="n"/>
      <c r="I47" s="140" t="n"/>
      <c r="J47" s="140" t="n"/>
      <c r="K47" s="140" t="n"/>
      <c r="L47" s="141" t="n"/>
      <c r="M47" s="57" t="n"/>
      <c r="N47" s="57" t="n"/>
    </row>
    <row r="48" ht="31.95" customHeight="1" s="128">
      <c r="B48" s="52" t="inlineStr">
        <is>
          <t>Tip umplere (volumetrica, la rece/cald, aseptica)</t>
        </is>
      </c>
      <c r="C48" s="162" t="inlineStr">
        <is>
          <t>Volumetrica, la rece</t>
        </is>
      </c>
      <c r="D48" s="140" t="n"/>
      <c r="E48" s="140" t="n"/>
      <c r="F48" s="140" t="n"/>
      <c r="G48" s="140" t="n"/>
      <c r="H48" s="140" t="n"/>
      <c r="I48" s="140" t="n"/>
      <c r="J48" s="140" t="n"/>
      <c r="K48" s="140" t="n"/>
      <c r="L48" s="141" t="n"/>
      <c r="M48" s="57" t="n"/>
      <c r="N48" s="57" t="n"/>
    </row>
    <row r="49" ht="31.95" customHeight="1" s="128">
      <c r="B49" s="52" t="inlineStr">
        <is>
          <t>Tip inchidere folosit pe linie (infoliere, capsare, presare, inductie)</t>
        </is>
      </c>
      <c r="C49" s="162" t="inlineStr">
        <is>
          <t>Capsare prin presare</t>
        </is>
      </c>
      <c r="D49" s="140" t="n"/>
      <c r="E49" s="140" t="n"/>
      <c r="F49" s="140" t="n"/>
      <c r="G49" s="140" t="n"/>
      <c r="H49" s="140" t="n"/>
      <c r="I49" s="140" t="n"/>
      <c r="J49" s="140" t="n"/>
      <c r="K49" s="140" t="n"/>
      <c r="L49" s="141" t="n"/>
      <c r="M49" s="57" t="n"/>
      <c r="N49" s="57" t="n"/>
    </row>
    <row r="50" ht="31.95" customHeight="1" s="128">
      <c r="B50" s="52" t="inlineStr">
        <is>
          <t>Cod gat / finisaj compatibil cu echipamentul existent</t>
        </is>
      </c>
      <c r="C50" s="162" t="inlineStr">
        <is>
          <t>Finisaj GPI 43mm - de confirmat cu desenul tehnic</t>
        </is>
      </c>
      <c r="D50" s="140" t="n"/>
      <c r="E50" s="140" t="n"/>
      <c r="F50" s="140" t="n"/>
      <c r="G50" s="140" t="n"/>
      <c r="H50" s="140" t="n"/>
      <c r="I50" s="140" t="n"/>
      <c r="J50" s="140" t="n"/>
      <c r="K50" s="140" t="n"/>
      <c r="L50" s="141" t="n"/>
      <c r="M50" s="57" t="n"/>
      <c r="N50" s="57" t="n"/>
    </row>
    <row r="51" ht="31.95" customHeight="1" s="128">
      <c r="B51" s="52" t="inlineStr">
        <is>
          <t>Tip etichetare folosit (aplicator rece/cald, sleeve, manual)</t>
        </is>
      </c>
      <c r="C51" s="162" t="inlineStr">
        <is>
          <t>Aplicator adeziv la rece</t>
        </is>
      </c>
      <c r="D51" s="140" t="n"/>
      <c r="E51" s="140" t="n"/>
      <c r="F51" s="140" t="n"/>
      <c r="G51" s="140" t="n"/>
      <c r="H51" s="140" t="n"/>
      <c r="I51" s="140" t="n"/>
      <c r="J51" s="140" t="n"/>
      <c r="K51" s="140" t="n"/>
      <c r="L51" s="141" t="n"/>
      <c r="M51" s="57" t="n"/>
      <c r="N51" s="57" t="n"/>
    </row>
    <row r="52" ht="30" customHeight="1" s="128">
      <c r="B52" s="52" t="inlineStr">
        <is>
          <t>Ambalaj secundar / paletizare</t>
        </is>
      </c>
      <c r="C52" s="162" t="inlineStr">
        <is>
          <t>Cutii de 24 buc, paleti EUR</t>
        </is>
      </c>
      <c r="D52" s="140" t="n"/>
      <c r="E52" s="140" t="n"/>
      <c r="F52" s="140" t="n"/>
      <c r="G52" s="140" t="n"/>
      <c r="H52" s="140" t="n"/>
      <c r="I52" s="140" t="n"/>
      <c r="J52" s="140" t="n"/>
      <c r="K52" s="140" t="n"/>
      <c r="L52" s="141" t="n"/>
      <c r="M52" s="57" t="n"/>
      <c r="N52" s="57" t="n"/>
    </row>
    <row r="53" ht="31.95" customHeight="1" s="128">
      <c r="B53" s="52" t="inlineStr">
        <is>
          <t>Limitari cunoscute ale liniei (greutate maxima, diametru, inaltime)</t>
        </is>
      </c>
      <c r="C53" s="163" t="inlineStr">
        <is>
          <t>Diametru maxim flacon 60mm</t>
        </is>
      </c>
      <c r="D53" s="143" t="n"/>
      <c r="E53" s="143" t="n"/>
      <c r="F53" s="143" t="n"/>
      <c r="G53" s="143" t="n"/>
      <c r="H53" s="143" t="n"/>
      <c r="I53" s="143" t="n"/>
      <c r="J53" s="143" t="n"/>
      <c r="K53" s="143" t="n"/>
      <c r="L53" s="144" t="n"/>
      <c r="M53" s="57" t="n"/>
      <c r="N53" s="57" t="n"/>
    </row>
    <row r="55" ht="19.5" customHeight="1" s="128">
      <c r="B55" s="35" t="inlineStr">
        <is>
          <t>6. Analiza de risc si conformitate PPWR — completata de MIRALEDO, impreuna cu clientul</t>
        </is>
      </c>
      <c r="C55" s="35" t="n"/>
      <c r="D55" s="35" t="n"/>
      <c r="E55" s="36" t="n"/>
      <c r="F55" s="36" t="n"/>
      <c r="G55" s="36" t="n"/>
      <c r="H55" s="36" t="n"/>
      <c r="I55" s="36" t="n"/>
      <c r="J55" s="36" t="n"/>
      <c r="K55" s="36" t="n"/>
      <c r="L55" s="36" t="n"/>
      <c r="M55" s="51" t="n"/>
      <c r="N55" s="51" t="n"/>
    </row>
    <row r="56" ht="30" customHeight="1" s="128">
      <c r="B56" s="112" t="inlineStr">
        <is>
          <t>Evaluare comerciala interna MIRALEDO a ambalajului ACTUAL. Nu reprezinta o certificare oficiala PPWR (nu exista asa ceva) - clasa de la sectiunea 3 e calculata din datele introduse pentru fiecare componenta.</t>
        </is>
      </c>
      <c r="C56" s="154" t="n"/>
      <c r="D56" s="154" t="n"/>
      <c r="E56" s="154" t="n"/>
      <c r="F56" s="154" t="n"/>
      <c r="G56" s="154" t="n"/>
      <c r="H56" s="154" t="n"/>
      <c r="I56" s="154" t="n"/>
      <c r="J56" s="154" t="n"/>
      <c r="K56" s="154" t="n"/>
      <c r="L56" s="154" t="n"/>
      <c r="M56" s="82" t="n"/>
      <c r="N56" s="82" t="n"/>
    </row>
    <row r="57" ht="31.95" customHeight="1" s="128">
      <c r="B57" s="52" t="inlineStr">
        <is>
          <t>Testare substante restrictionate (PFAS etc.) efectuata?</t>
        </is>
      </c>
      <c r="C57" s="162" t="inlineStr">
        <is>
          <t>Nu - nicio testare cunoscuta</t>
        </is>
      </c>
      <c r="D57" s="140" t="n"/>
      <c r="E57" s="140" t="n"/>
      <c r="F57" s="140" t="n"/>
      <c r="G57" s="140" t="n"/>
      <c r="H57" s="140" t="n"/>
      <c r="I57" s="140" t="n"/>
      <c r="J57" s="140" t="n"/>
      <c r="K57" s="140" t="n"/>
      <c r="L57" s="141" t="n"/>
      <c r="M57" s="57" t="n"/>
      <c r="N57" s="57" t="n"/>
    </row>
    <row r="58" ht="45" customHeight="1" s="128">
      <c r="B58" s="52" t="inlineStr">
        <is>
          <t>Documentatie de conformitate disponibila (documentatie tehnica - Anexa VII; declaratie UE - Anexa VIII)</t>
        </is>
      </c>
      <c r="C58" s="162" t="inlineStr">
        <is>
          <t>Nu a fost solicitata</t>
        </is>
      </c>
      <c r="D58" s="140" t="n"/>
      <c r="E58" s="140" t="n"/>
      <c r="F58" s="140" t="n"/>
      <c r="G58" s="140" t="n"/>
      <c r="H58" s="140" t="n"/>
      <c r="I58" s="140" t="n"/>
      <c r="J58" s="140" t="n"/>
      <c r="K58" s="140" t="n"/>
      <c r="L58" s="141" t="n"/>
      <c r="M58" s="57" t="n"/>
      <c r="N58" s="57" t="n"/>
    </row>
    <row r="59" ht="31.95" customHeight="1" s="128">
      <c r="B59" s="52" t="inlineStr">
        <is>
          <t>Expunere la restrictii de format PPWR (Anexa V)</t>
        </is>
      </c>
      <c r="C59" s="162" t="inlineStr">
        <is>
          <t>Nu este cazul pentru acest produs</t>
        </is>
      </c>
      <c r="D59" s="140" t="n"/>
      <c r="E59" s="140" t="n"/>
      <c r="F59" s="140" t="n"/>
      <c r="G59" s="140" t="n"/>
      <c r="H59" s="140" t="n"/>
      <c r="I59" s="140" t="n"/>
      <c r="J59" s="140" t="n"/>
      <c r="K59" s="140" t="n"/>
      <c r="L59" s="141" t="n"/>
      <c r="M59" s="57" t="n"/>
      <c r="N59" s="57" t="n"/>
    </row>
    <row r="60" ht="31.95" customHeight="1" s="128">
      <c r="B60" s="52" t="inlineStr">
        <is>
          <t>Aplicabilitate obligatii reutilizare / reumplere (2027-2030)</t>
        </is>
      </c>
      <c r="C60" s="162" t="inlineStr">
        <is>
          <t>Nu este cazul</t>
        </is>
      </c>
      <c r="D60" s="140" t="n"/>
      <c r="E60" s="140" t="n"/>
      <c r="F60" s="140" t="n"/>
      <c r="G60" s="140" t="n"/>
      <c r="H60" s="140" t="n"/>
      <c r="I60" s="140" t="n"/>
      <c r="J60" s="140" t="n"/>
      <c r="K60" s="140" t="n"/>
      <c r="L60" s="141" t="n"/>
      <c r="M60" s="57" t="n"/>
      <c r="N60" s="57" t="n"/>
    </row>
    <row r="61" ht="31.95" customHeight="1" s="128">
      <c r="B61" s="52" t="inlineStr">
        <is>
          <t>Nivel de risc PPWR (Ridicat / Mediu / Scazut)</t>
        </is>
      </c>
      <c r="C61" s="162" t="inlineStr">
        <is>
          <t>Mediu</t>
        </is>
      </c>
      <c r="D61" s="140" t="n"/>
      <c r="E61" s="140" t="n"/>
      <c r="F61" s="140" t="n"/>
      <c r="G61" s="140" t="n"/>
      <c r="H61" s="140" t="n"/>
      <c r="I61" s="140" t="n"/>
      <c r="J61" s="140" t="n"/>
      <c r="K61" s="140" t="n"/>
      <c r="L61" s="141" t="n"/>
      <c r="M61" s="57" t="n"/>
      <c r="N61" s="57" t="n"/>
    </row>
    <row r="62" ht="31.95" customHeight="1" s="128">
      <c r="B62" s="52" t="inlineStr">
        <is>
          <t>Motivatie risc identificat</t>
        </is>
      </c>
      <c r="C62" s="162" t="inlineStr">
        <is>
          <t>Eticheta de material diferit lipita direct scade reciclabilitatea; continutul reciclat al flaconului nu e certificat</t>
        </is>
      </c>
      <c r="D62" s="140" t="n"/>
      <c r="E62" s="140" t="n"/>
      <c r="F62" s="140" t="n"/>
      <c r="G62" s="140" t="n"/>
      <c r="H62" s="140" t="n"/>
      <c r="I62" s="140" t="n"/>
      <c r="J62" s="140" t="n"/>
      <c r="K62" s="140" t="n"/>
      <c r="L62" s="141" t="n"/>
      <c r="M62" s="57" t="n"/>
      <c r="N62" s="57" t="n"/>
    </row>
    <row r="63" ht="31.95" customHeight="1" s="128">
      <c r="B63" s="52" t="inlineStr">
        <is>
          <t>Oportunitati de imbunatatire propuse de MIRALEDO</t>
        </is>
      </c>
      <c r="C63" s="162" t="inlineStr">
        <is>
          <t>Eticheta detasabila/sleeve din acelasi material; flacon cu PCR certificat</t>
        </is>
      </c>
      <c r="D63" s="140" t="n"/>
      <c r="E63" s="140" t="n"/>
      <c r="F63" s="140" t="n"/>
      <c r="G63" s="140" t="n"/>
      <c r="H63" s="140" t="n"/>
      <c r="I63" s="140" t="n"/>
      <c r="J63" s="140" t="n"/>
      <c r="K63" s="140" t="n"/>
      <c r="L63" s="141" t="n"/>
      <c r="M63" s="57" t="n"/>
      <c r="N63" s="57" t="n"/>
    </row>
    <row r="64" ht="31.95" customHeight="1" s="128">
      <c r="B64" s="52" t="inlineStr">
        <is>
          <t>Beneficiu estimat (cost EPR, conformitate, imagine)</t>
        </is>
      </c>
      <c r="C64" s="162" t="inlineStr">
        <is>
          <t>Reducere contributie Fond Mediu, argument de sustenabilitate pentru client</t>
        </is>
      </c>
      <c r="D64" s="140" t="n"/>
      <c r="E64" s="140" t="n"/>
      <c r="F64" s="140" t="n"/>
      <c r="G64" s="140" t="n"/>
      <c r="H64" s="140" t="n"/>
      <c r="I64" s="140" t="n"/>
      <c r="J64" s="140" t="n"/>
      <c r="K64" s="140" t="n"/>
      <c r="L64" s="141" t="n"/>
      <c r="M64" s="57" t="n"/>
      <c r="N64" s="57" t="n"/>
    </row>
    <row r="65" ht="30" customHeight="1" s="128">
      <c r="B65" s="52" t="inlineStr">
        <is>
          <t>Termen legal relevant / urgenta</t>
        </is>
      </c>
      <c r="C65" s="163" t="inlineStr">
        <is>
          <t>Etichetare armonizata din 2028 - fereastra confortabila</t>
        </is>
      </c>
      <c r="D65" s="143" t="n"/>
      <c r="E65" s="143" t="n"/>
      <c r="F65" s="143" t="n"/>
      <c r="G65" s="143" t="n"/>
      <c r="H65" s="143" t="n"/>
      <c r="I65" s="143" t="n"/>
      <c r="J65" s="143" t="n"/>
      <c r="K65" s="143" t="n"/>
      <c r="L65" s="144" t="n"/>
      <c r="M65" s="57" t="n"/>
      <c r="N65" s="57" t="n"/>
    </row>
    <row r="67" ht="19.5" customHeight="1" s="128">
      <c r="B67" s="35" t="inlineStr">
        <is>
          <t>7. Comercial si pasi urmatori — sectiune interna MIRALEDO</t>
        </is>
      </c>
      <c r="C67" s="35" t="n"/>
      <c r="D67" s="35" t="n"/>
      <c r="E67" s="36" t="n"/>
      <c r="F67" s="36" t="n"/>
      <c r="G67" s="36" t="n"/>
      <c r="H67" s="36" t="n"/>
      <c r="I67" s="36" t="n"/>
      <c r="J67" s="36" t="n"/>
      <c r="K67" s="36" t="n"/>
      <c r="L67" s="36" t="n"/>
      <c r="M67" s="51" t="n"/>
      <c r="N67" s="51" t="n"/>
    </row>
    <row r="68" ht="30" customHeight="1" s="128">
      <c r="B68" s="52" t="inlineStr">
        <is>
          <t>Pret tinta client (unitate completa, EUR / 1000 buc)</t>
        </is>
      </c>
      <c r="C68" s="162" t="inlineStr">
        <is>
          <t>400 EUR / 1000 buc</t>
        </is>
      </c>
      <c r="D68" s="140" t="n"/>
      <c r="E68" s="140" t="n"/>
      <c r="F68" s="140" t="n"/>
      <c r="G68" s="140" t="n"/>
      <c r="H68" s="140" t="n"/>
      <c r="I68" s="140" t="n"/>
      <c r="J68" s="140" t="n"/>
      <c r="K68" s="140" t="n"/>
      <c r="L68" s="141" t="n"/>
      <c r="M68" s="57" t="n"/>
      <c r="N68" s="57" t="n"/>
    </row>
    <row r="69" ht="30" customHeight="1" s="128">
      <c r="B69" s="52" t="inlineStr">
        <is>
          <t>Conditii de livrare (Incoterms)</t>
        </is>
      </c>
      <c r="C69" s="162" t="inlineStr">
        <is>
          <t>DAP Bucuresti</t>
        </is>
      </c>
      <c r="D69" s="140" t="n"/>
      <c r="E69" s="140" t="n"/>
      <c r="F69" s="140" t="n"/>
      <c r="G69" s="140" t="n"/>
      <c r="H69" s="140" t="n"/>
      <c r="I69" s="140" t="n"/>
      <c r="J69" s="140" t="n"/>
      <c r="K69" s="140" t="n"/>
      <c r="L69" s="141" t="n"/>
      <c r="M69" s="57" t="n"/>
      <c r="N69" s="57" t="n"/>
    </row>
    <row r="70" ht="31.95" customHeight="1" s="128">
      <c r="B70" s="52" t="inlineStr">
        <is>
          <t>Problema / nevoie identificata la client</t>
        </is>
      </c>
      <c r="C70" s="162" t="inlineStr">
        <is>
          <t>Cauta reducere cost si continut reciclat</t>
        </is>
      </c>
      <c r="D70" s="140" t="n"/>
      <c r="E70" s="140" t="n"/>
      <c r="F70" s="140" t="n"/>
      <c r="G70" s="140" t="n"/>
      <c r="H70" s="140" t="n"/>
      <c r="I70" s="140" t="n"/>
      <c r="J70" s="140" t="n"/>
      <c r="K70" s="140" t="n"/>
      <c r="L70" s="141" t="n"/>
      <c r="M70" s="57" t="n"/>
      <c r="N70" s="57" t="n"/>
    </row>
    <row r="71" ht="31.95" customHeight="1" s="128">
      <c r="B71" s="52" t="inlineStr">
        <is>
          <t>Stadiu pipeline (vezi Sales Pipeline CRM)</t>
        </is>
      </c>
      <c r="C71" s="162" t="inlineStr">
        <is>
          <t>NEVOIE IDENTIFICATA</t>
        </is>
      </c>
      <c r="D71" s="140" t="n"/>
      <c r="E71" s="140" t="n"/>
      <c r="F71" s="140" t="n"/>
      <c r="G71" s="140" t="n"/>
      <c r="H71" s="140" t="n"/>
      <c r="I71" s="140" t="n"/>
      <c r="J71" s="140" t="n"/>
      <c r="K71" s="140" t="n"/>
      <c r="L71" s="141" t="n"/>
      <c r="M71" s="57" t="n"/>
      <c r="N71" s="57" t="n"/>
    </row>
    <row r="72" ht="30" customHeight="1" s="128">
      <c r="B72" s="52" t="inlineStr">
        <is>
          <t>Urmatoarea actiune</t>
        </is>
      </c>
      <c r="C72" s="162" t="inlineStr">
        <is>
          <t>Trimis catre furnizor Z pentru oferta PCR pe flacon</t>
        </is>
      </c>
      <c r="D72" s="140" t="n"/>
      <c r="E72" s="140" t="n"/>
      <c r="F72" s="140" t="n"/>
      <c r="G72" s="140" t="n"/>
      <c r="H72" s="140" t="n"/>
      <c r="I72" s="140" t="n"/>
      <c r="J72" s="140" t="n"/>
      <c r="K72" s="140" t="n"/>
      <c r="L72" s="141" t="n"/>
      <c r="M72" s="57" t="n"/>
      <c r="N72" s="57" t="n"/>
    </row>
    <row r="73" ht="30" customHeight="1" s="128">
      <c r="B73" s="52" t="inlineStr">
        <is>
          <t>Data urmatorului follow-up</t>
        </is>
      </c>
      <c r="C73" s="163" t="inlineStr">
        <is>
          <t>05.10.2026</t>
        </is>
      </c>
      <c r="D73" s="143" t="n"/>
      <c r="E73" s="143" t="n"/>
      <c r="F73" s="143" t="n"/>
      <c r="G73" s="143" t="n"/>
      <c r="H73" s="143" t="n"/>
      <c r="I73" s="143" t="n"/>
      <c r="J73" s="143" t="n"/>
      <c r="K73" s="143" t="n"/>
      <c r="L73" s="144" t="n"/>
      <c r="M73" s="57" t="n"/>
      <c r="N73" s="57" t="n"/>
    </row>
    <row r="76" ht="18" customHeight="1" s="128">
      <c r="B76" s="54" t="inlineStr">
        <is>
          <t>Observatii</t>
        </is>
      </c>
      <c r="C76" s="155" t="n"/>
      <c r="D76" s="140" t="n"/>
      <c r="E76" s="140" t="n"/>
      <c r="F76" s="140" t="n"/>
      <c r="G76" s="140" t="n"/>
      <c r="H76" s="140" t="n"/>
      <c r="I76" s="140" t="n"/>
      <c r="J76" s="140" t="n"/>
      <c r="K76" s="140" t="n"/>
      <c r="L76" s="141" t="n"/>
      <c r="M76" s="4" t="n"/>
      <c r="N76" s="4" t="n"/>
    </row>
    <row r="77" ht="18" customHeight="1" s="128">
      <c r="C77" s="156" t="n"/>
      <c r="D77" s="157" t="n"/>
      <c r="E77" s="157" t="n"/>
      <c r="F77" s="157" t="n"/>
      <c r="G77" s="157" t="n"/>
      <c r="H77" s="157" t="n"/>
      <c r="I77" s="157" t="n"/>
      <c r="J77" s="157" t="n"/>
      <c r="K77" s="157" t="n"/>
      <c r="L77" s="158" t="n"/>
      <c r="M77" s="4" t="n"/>
      <c r="N77" s="4" t="n"/>
    </row>
    <row r="78" ht="18" customHeight="1" s="128">
      <c r="C78" s="159" t="n"/>
      <c r="D78" s="160" t="n"/>
      <c r="E78" s="160" t="n"/>
      <c r="F78" s="160" t="n"/>
      <c r="G78" s="160" t="n"/>
      <c r="H78" s="160" t="n"/>
      <c r="I78" s="160" t="n"/>
      <c r="J78" s="160" t="n"/>
      <c r="K78" s="160" t="n"/>
      <c r="L78" s="161" t="n"/>
      <c r="M78" s="4" t="n"/>
      <c r="N78" s="4" t="n"/>
    </row>
  </sheetData>
  <sheetProtection selectLockedCells="0" selectUnlockedCells="0" sheet="1" objects="1" insertRows="1" insertHyperlinks="1" autoFilter="1" scenarios="1" formatColumns="0" deleteColumns="1" insertColumns="1" pivotTables="1" deleteRows="1" formatCells="1" formatRows="0" sort="1"/>
  <mergeCells count="54">
    <mergeCell ref="C71:L71"/>
    <mergeCell ref="E12:L12"/>
    <mergeCell ref="E28:G28"/>
    <mergeCell ref="C61:L61"/>
    <mergeCell ref="C39:L39"/>
    <mergeCell ref="C52:L52"/>
    <mergeCell ref="C70:L70"/>
    <mergeCell ref="C8:L8"/>
    <mergeCell ref="C48:L48"/>
    <mergeCell ref="C7:L7"/>
    <mergeCell ref="E14:L14"/>
    <mergeCell ref="E30:G30"/>
    <mergeCell ref="C76:L78"/>
    <mergeCell ref="B29:D29"/>
    <mergeCell ref="C38:L38"/>
    <mergeCell ref="C72:L72"/>
    <mergeCell ref="B56:L56"/>
    <mergeCell ref="C57:L57"/>
    <mergeCell ref="C37:L37"/>
    <mergeCell ref="B28:D28"/>
    <mergeCell ref="C53:L53"/>
    <mergeCell ref="C69:L69"/>
    <mergeCell ref="C49:L49"/>
    <mergeCell ref="E10:L10"/>
    <mergeCell ref="C68:L68"/>
    <mergeCell ref="C34:L34"/>
    <mergeCell ref="B30:D30"/>
    <mergeCell ref="E13:L13"/>
    <mergeCell ref="C6:L6"/>
    <mergeCell ref="C62:L62"/>
    <mergeCell ref="C42:L42"/>
    <mergeCell ref="C58:L58"/>
    <mergeCell ref="C5:L5"/>
    <mergeCell ref="C73:L73"/>
    <mergeCell ref="C4:L4"/>
    <mergeCell ref="C64:L64"/>
    <mergeCell ref="E11:L11"/>
    <mergeCell ref="B26:D26"/>
    <mergeCell ref="C35:L35"/>
    <mergeCell ref="C63:L63"/>
    <mergeCell ref="C65:L65"/>
    <mergeCell ref="C47:L47"/>
    <mergeCell ref="C50:L50"/>
    <mergeCell ref="C41:L41"/>
    <mergeCell ref="C40:L40"/>
    <mergeCell ref="B33:L33"/>
    <mergeCell ref="B27:D27"/>
    <mergeCell ref="C59:L59"/>
    <mergeCell ref="C43:L43"/>
    <mergeCell ref="C51:L51"/>
    <mergeCell ref="C46:L46"/>
    <mergeCell ref="E29:G29"/>
    <mergeCell ref="C60:L60"/>
    <mergeCell ref="C36:L36"/>
  </mergeCells>
  <dataValidations count="10">
    <dataValidation sqref="E18:E25" showDropDown="0" showInputMessage="1" showErrorMessage="1" allowBlank="1" errorTitle="Valoare invalida" error="Greutatea se scrie in grame, ca numar pozitiv (ex: 12 sau 1,5)." type="decimal">
      <formula1>0</formula1>
      <formula2>100000</formula2>
    </dataValidation>
    <dataValidation sqref="F18:F25" showDropDown="0" showInputMessage="1" showErrorMessage="1" allowBlank="1" errorTitle="Valoare invalida" error="Scrieti un procent intre 0% si 100% (ex: 60%)." type="decimal">
      <formula1>0</formula1>
      <formula2>1</formula2>
    </dataValidation>
    <dataValidation sqref="H18:H25" showDropDown="0" showInputMessage="1" showErrorMessage="1" allowBlank="1" errorTitle="Valoare invalida" error="Scrieti un procent intre 0% si 100% (ex: 30%)." type="decimal">
      <formula1>0</formula1>
      <formula2>1</formula2>
    </dataValidation>
    <dataValidation sqref="C37:C39" showDropDown="0" showInputMessage="1" showErrorMessage="1" allowBlank="1" errorTitle="Valoare invalida" error="Valoarea nu este in lista. Puteti continua daca este intentionat (ex: cu detalii)." type="list" errorStyle="information">
      <formula1>"Scazuta,Medie,Ridicata"</formula1>
    </dataValidation>
    <dataValidation sqref="C46" showDropDown="0" showInputMessage="1" showErrorMessage="1" allowBlank="1" errorTitle="Valoare invalida" error="Valoarea nu este in lista. Puteti continua daca este intentionat (ex: cu detalii)." type="list" errorStyle="information">
      <formula1>"Automata,Semi-automata,Manuala"</formula1>
    </dataValidation>
    <dataValidation sqref="C57:C58" showDropDown="0" showInputMessage="1" showErrorMessage="1" allowBlank="1" errorTitle="Valoare invalida" error="Valoarea nu este in lista. Puteti continua daca este intentionat (ex: cu detalii)." type="list" errorStyle="information">
      <formula1>"Da,Nu,De confirmat"</formula1>
    </dataValidation>
    <dataValidation sqref="C61" showDropDown="0" showInputMessage="1" showErrorMessage="1" allowBlank="1" errorTitle="Valoare invalida" error="Alegeti: Ridicat, Mediu sau Scazut." type="list">
      <formula1>"Ridicat,Mediu,Scazut"</formula1>
    </dataValidation>
    <dataValidation sqref="C11:C14" showDropDown="0" showInputMessage="1" showErrorMessage="1" allowBlank="1" errorTitle="Valoare invalida" error="Scrieti volumul anual ca numar (buc/an), fara text." type="decimal" operator="greaterThanOrEqual">
      <formula1>0</formula1>
    </dataValidation>
    <dataValidation sqref="C35" showDropDown="0" showInputMessage="1" showErrorMessage="1" allowBlank="1" errorTitle="Valoare invalida" error="Valoarea nu este in lista. Puteti continua daca este intentionat." type="list" errorStyle="information">
      <formula1>"Alimentar,Farma,Cosmetic,Supliment alimentar,Altul"</formula1>
    </dataValidation>
    <dataValidation sqref="K18:K25" showDropDown="0" showInputMessage="1" showErrorMessage="1" allowBlank="1" errorTitle="Valoare invalida" error="Scrieti pretul ca numar in EUR / 1000 buc (ex: 300)." type="decimal" operator="greaterThanOrEqual">
      <formula1>0</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2:N78"/>
  <sheetViews>
    <sheetView showGridLines="0" zoomScaleNormal="100" workbookViewId="0">
      <selection activeCell="A1" sqref="A1"/>
    </sheetView>
  </sheetViews>
  <sheetFormatPr baseColWidth="8" defaultColWidth="8.6640625" defaultRowHeight="14.4"/>
  <cols>
    <col width="3" customWidth="1" style="128" min="1" max="1"/>
    <col width="38.88671875" customWidth="1" style="128" min="2" max="2"/>
    <col width="18.5546875" customWidth="1" style="128" min="3" max="3"/>
    <col width="15.77734375" customWidth="1" style="128" min="4" max="4"/>
    <col width="11.44140625" customWidth="1" style="128" min="5" max="5"/>
    <col width="13" customWidth="1" style="128" min="6" max="6"/>
    <col width="12.5546875" customWidth="1" style="128" min="7" max="7"/>
    <col width="13.33203125" customWidth="1" style="128" min="8" max="8"/>
    <col width="15.77734375" customWidth="1" style="128" min="9" max="9"/>
    <col width="14.77734375" customWidth="1" style="128" min="10" max="10"/>
    <col width="17.5546875" customWidth="1" style="128" min="11" max="11"/>
    <col width="27.77734375" customWidth="1" style="128" min="12" max="12"/>
    <col width="11.109375" customWidth="1" style="128" min="13" max="13"/>
    <col width="25.88671875" customWidth="1" style="128" min="14" max="14"/>
    <col width="3" customWidth="1" style="128" min="15" max="15"/>
  </cols>
  <sheetData>
    <row r="1" ht="15" customHeight="1" s="128"/>
    <row r="2" ht="27.75" customHeight="1" s="128">
      <c r="B2" s="129" t="inlineStr">
        <is>
          <t>Fisa de analiza — unitate de ambalaj</t>
        </is>
      </c>
      <c r="C2" s="129" t="n"/>
      <c r="D2" s="129" t="n"/>
      <c r="E2" s="34" t="n"/>
      <c r="F2" s="34" t="n"/>
      <c r="G2" s="34" t="n"/>
      <c r="H2" s="34" t="n"/>
      <c r="I2" s="34" t="n"/>
      <c r="J2" s="34" t="n"/>
      <c r="K2" s="34" t="n"/>
      <c r="L2" s="34" t="n"/>
    </row>
    <row r="3" ht="19.5" customHeight="1" s="128">
      <c r="B3" s="35" t="inlineStr">
        <is>
          <t>1. Identificare unitate de ambalaj</t>
        </is>
      </c>
      <c r="C3" s="35" t="n"/>
      <c r="D3" s="35" t="n"/>
      <c r="E3" s="36" t="n"/>
      <c r="F3" s="36" t="n"/>
      <c r="G3" s="36" t="n"/>
      <c r="H3" s="36" t="n"/>
      <c r="I3" s="36" t="n"/>
      <c r="J3" s="36" t="n"/>
      <c r="K3" s="36" t="n"/>
      <c r="L3" s="36" t="n"/>
      <c r="M3" s="51" t="n"/>
      <c r="N3" s="51" t="n"/>
    </row>
    <row r="4" ht="31.95" customHeight="1" s="128">
      <c r="B4" s="52" t="inlineStr">
        <is>
          <t>Denumire unitate (pe baza componentelor)</t>
        </is>
      </c>
      <c r="C4" s="139" t="n"/>
      <c r="D4" s="140" t="n"/>
      <c r="E4" s="140" t="n"/>
      <c r="F4" s="140" t="n"/>
      <c r="G4" s="140" t="n"/>
      <c r="H4" s="140" t="n"/>
      <c r="I4" s="140" t="n"/>
      <c r="J4" s="140" t="n"/>
      <c r="K4" s="140" t="n"/>
      <c r="L4" s="141" t="n"/>
      <c r="M4" s="55" t="n"/>
      <c r="N4" s="55" t="n"/>
    </row>
    <row r="5" ht="31.95" customHeight="1" s="128">
      <c r="B5" s="52" t="inlineStr">
        <is>
          <t>Furnizor/configuratie de referinta (daca exista)</t>
        </is>
      </c>
      <c r="C5" s="142" t="n"/>
      <c r="D5" s="143" t="n"/>
      <c r="E5" s="143" t="n"/>
      <c r="F5" s="143" t="n"/>
      <c r="G5" s="143" t="n"/>
      <c r="H5" s="143" t="n"/>
      <c r="I5" s="143" t="n"/>
      <c r="J5" s="143" t="n"/>
      <c r="K5" s="143" t="n"/>
      <c r="L5" s="144" t="n"/>
      <c r="M5" s="55" t="n"/>
      <c r="N5" s="55" t="n"/>
    </row>
    <row r="6" ht="30" customHeight="1" s="128">
      <c r="B6" s="52" t="inlineStr">
        <is>
          <t>Capacitate nominala (ml / g)</t>
        </is>
      </c>
      <c r="C6" s="145" t="n"/>
      <c r="D6" s="143" t="n"/>
      <c r="E6" s="143" t="n"/>
      <c r="F6" s="143" t="n"/>
      <c r="G6" s="143" t="n"/>
      <c r="H6" s="143" t="n"/>
      <c r="I6" s="143" t="n"/>
      <c r="J6" s="143" t="n"/>
      <c r="K6" s="143" t="n"/>
      <c r="L6" s="144" t="n"/>
      <c r="M6" s="55" t="n"/>
      <c r="N6" s="55" t="n"/>
    </row>
    <row r="7" ht="34.05" customHeight="1" s="128">
      <c r="B7" s="52" t="inlineStr">
        <is>
          <t>Dimensiuni principale (diametru x inaltime, mm)</t>
        </is>
      </c>
      <c r="C7" s="145" t="n"/>
      <c r="D7" s="143" t="n"/>
      <c r="E7" s="143" t="n"/>
      <c r="F7" s="143" t="n"/>
      <c r="G7" s="143" t="n"/>
      <c r="H7" s="143" t="n"/>
      <c r="I7" s="143" t="n"/>
      <c r="J7" s="143" t="n"/>
      <c r="K7" s="143" t="n"/>
      <c r="L7" s="144" t="n"/>
      <c r="M7" s="55" t="n"/>
      <c r="N7" s="55" t="n"/>
    </row>
    <row r="8" ht="34.05" customHeight="1" s="128">
      <c r="B8" s="52" t="inlineStr">
        <is>
          <t>Documente disponibile (fisa tehnica, desen, poze, declaratii)</t>
        </is>
      </c>
      <c r="C8" s="145" t="n"/>
      <c r="D8" s="143" t="n"/>
      <c r="E8" s="143" t="n"/>
      <c r="F8" s="143" t="n"/>
      <c r="G8" s="143" t="n"/>
      <c r="H8" s="143" t="n"/>
      <c r="I8" s="143" t="n"/>
      <c r="J8" s="143" t="n"/>
      <c r="K8" s="143" t="n"/>
      <c r="L8" s="144" t="n"/>
      <c r="M8" s="55" t="n"/>
      <c r="N8" s="55" t="n"/>
    </row>
    <row r="9" ht="19.5" customHeight="1" s="128">
      <c r="B9" s="35" t="inlineStr">
        <is>
          <t>2. Produse / SKU-uri care folosesc aceasta unitate</t>
        </is>
      </c>
      <c r="C9" s="35" t="n"/>
      <c r="D9" s="35" t="n"/>
      <c r="E9" s="36" t="n"/>
      <c r="F9" s="36" t="n"/>
      <c r="G9" s="36" t="n"/>
      <c r="H9" s="36" t="n"/>
      <c r="I9" s="36" t="n"/>
      <c r="J9" s="36" t="n"/>
      <c r="K9" s="36" t="n"/>
      <c r="L9" s="36" t="n"/>
      <c r="M9" s="51" t="n"/>
      <c r="N9" s="51" t="n"/>
    </row>
    <row r="10" ht="30" customHeight="1" s="128">
      <c r="B10" s="3" t="inlineStr">
        <is>
          <t>Denumire produs / SKU</t>
        </is>
      </c>
      <c r="C10" s="102" t="inlineStr">
        <is>
          <t>Volum anual estimat (buc/an)</t>
        </is>
      </c>
      <c r="D10" s="102" t="inlineStr">
        <is>
          <t>Frecventa comenzilor</t>
        </is>
      </c>
      <c r="E10" s="102" t="inlineStr">
        <is>
          <t>Observatii</t>
        </is>
      </c>
      <c r="F10" s="146" t="n"/>
      <c r="G10" s="146" t="n"/>
      <c r="H10" s="146" t="n"/>
      <c r="I10" s="146" t="n"/>
      <c r="J10" s="146" t="n"/>
      <c r="K10" s="146" t="n"/>
      <c r="L10" s="146" t="n"/>
      <c r="M10" s="50" t="n"/>
      <c r="N10" s="50" t="n"/>
    </row>
    <row r="11" ht="30" customHeight="1" s="128">
      <c r="B11" s="42" t="n"/>
      <c r="C11" s="67" t="n"/>
      <c r="D11" s="53" t="n"/>
      <c r="E11" s="104" t="n"/>
      <c r="F11" s="143" t="n"/>
      <c r="G11" s="143" t="n"/>
      <c r="H11" s="143" t="n"/>
      <c r="I11" s="143" t="n"/>
      <c r="J11" s="143" t="n"/>
      <c r="K11" s="143" t="n"/>
      <c r="L11" s="143" t="n"/>
      <c r="M11" s="55" t="n"/>
      <c r="N11" s="55" t="n"/>
    </row>
    <row r="12" ht="30" customHeight="1" s="128">
      <c r="B12" s="42" t="n"/>
      <c r="C12" s="67" t="n"/>
      <c r="D12" s="53" t="n"/>
      <c r="E12" s="104" t="n"/>
      <c r="F12" s="143" t="n"/>
      <c r="G12" s="143" t="n"/>
      <c r="H12" s="143" t="n"/>
      <c r="I12" s="143" t="n"/>
      <c r="J12" s="143" t="n"/>
      <c r="K12" s="143" t="n"/>
      <c r="L12" s="143" t="n"/>
      <c r="M12" s="55" t="n"/>
      <c r="N12" s="55" t="n"/>
    </row>
    <row r="13" ht="30" customHeight="1" s="128">
      <c r="B13" s="42" t="n"/>
      <c r="C13" s="67" t="n"/>
      <c r="D13" s="53" t="n"/>
      <c r="E13" s="104" t="n"/>
      <c r="F13" s="143" t="n"/>
      <c r="G13" s="143" t="n"/>
      <c r="H13" s="143" t="n"/>
      <c r="I13" s="143" t="n"/>
      <c r="J13" s="143" t="n"/>
      <c r="K13" s="143" t="n"/>
      <c r="L13" s="143" t="n"/>
      <c r="M13" s="55" t="n"/>
      <c r="N13" s="55" t="n"/>
    </row>
    <row r="14" ht="30" customHeight="1" s="128">
      <c r="B14" s="64" t="n"/>
      <c r="C14" s="68" t="n"/>
      <c r="D14" s="53" t="n"/>
      <c r="E14" s="104" t="n"/>
      <c r="F14" s="143" t="n"/>
      <c r="G14" s="143" t="n"/>
      <c r="H14" s="143" t="n"/>
      <c r="I14" s="143" t="n"/>
      <c r="J14" s="143" t="n"/>
      <c r="K14" s="143" t="n"/>
      <c r="L14" s="143" t="n"/>
      <c r="M14" s="55" t="n"/>
      <c r="N14" s="55" t="n"/>
    </row>
    <row r="15" ht="24" customHeight="1" s="128">
      <c r="B15" s="65" t="inlineStr">
        <is>
          <t>TOTAL volum anual unitate (automat)</t>
        </is>
      </c>
      <c r="C15" s="66">
        <f>SUM(C11:C14)</f>
        <v/>
      </c>
    </row>
    <row r="16" ht="19.5" customHeight="1" s="128">
      <c r="B16" s="35" t="inlineStr">
        <is>
          <t>3. Componentele unitatii de ambalaj</t>
        </is>
      </c>
      <c r="C16" s="35" t="n"/>
      <c r="D16" s="35" t="n"/>
      <c r="E16" s="35" t="n"/>
      <c r="F16" s="35" t="n"/>
      <c r="G16" s="35" t="n"/>
      <c r="H16" s="35" t="n"/>
      <c r="I16" s="35" t="n"/>
      <c r="J16" s="35" t="n"/>
      <c r="K16" s="35" t="n"/>
      <c r="L16" s="35" t="n"/>
      <c r="M16" s="63" t="n"/>
      <c r="N16" s="63" t="n"/>
    </row>
    <row r="17" ht="49.95" customHeight="1" s="128">
      <c r="B17" s="3" t="inlineStr">
        <is>
          <t>Denumire componenta</t>
        </is>
      </c>
      <c r="C17" s="3" t="inlineStr">
        <is>
          <t>Material</t>
        </is>
      </c>
      <c r="D17" s="3" t="inlineStr">
        <is>
          <t>Culoare</t>
        </is>
      </c>
      <c r="E17" s="3" t="inlineStr">
        <is>
          <t>Greutate (g)</t>
        </is>
      </c>
      <c r="F17" s="3" t="inlineStr">
        <is>
          <t>% reciclabil (0-100%)</t>
        </is>
      </c>
      <c r="G17" s="3" t="inlineStr">
        <is>
          <t>Masa reciclabila (g)</t>
        </is>
      </c>
      <c r="H17" s="3" t="inlineStr">
        <is>
          <t>% continut reciclat (PCR)</t>
        </is>
      </c>
      <c r="I17" s="3" t="inlineStr">
        <is>
          <t>Furnizor</t>
        </is>
      </c>
      <c r="J17" s="3" t="inlineStr">
        <is>
          <t>Tara origine</t>
        </is>
      </c>
      <c r="K17" s="3" t="inlineStr">
        <is>
          <t>Pret unitar (EUR / 1000 buc)</t>
        </is>
      </c>
      <c r="L17" s="102" t="inlineStr">
        <is>
          <t>Observatii / risc</t>
        </is>
      </c>
    </row>
    <row r="18" ht="18" customHeight="1" s="128">
      <c r="B18" s="43" t="n"/>
      <c r="C18" s="44" t="n"/>
      <c r="D18" s="44" t="n"/>
      <c r="E18" s="44" t="n"/>
      <c r="F18" s="45" t="n"/>
      <c r="G18" s="147">
        <f>IF(OR(E18="",F18=""),"",E18*F18)</f>
        <v/>
      </c>
      <c r="H18" s="45" t="n"/>
      <c r="I18" s="44" t="n"/>
      <c r="J18" s="44" t="n"/>
      <c r="K18" s="69" t="n"/>
      <c r="L18" s="59" t="n"/>
    </row>
    <row r="19" ht="18" customHeight="1" s="128">
      <c r="B19" s="43" t="n"/>
      <c r="C19" s="44" t="n"/>
      <c r="D19" s="44" t="n"/>
      <c r="E19" s="44" t="n"/>
      <c r="F19" s="45" t="n"/>
      <c r="G19" s="147">
        <f>IF(OR(E19="",F19=""),"",E19*F19)</f>
        <v/>
      </c>
      <c r="H19" s="45" t="n"/>
      <c r="I19" s="44" t="n"/>
      <c r="J19" s="44" t="n"/>
      <c r="K19" s="69" t="n"/>
      <c r="L19" s="59" t="n"/>
    </row>
    <row r="20" ht="18" customHeight="1" s="128">
      <c r="B20" s="43" t="n"/>
      <c r="C20" s="44" t="n"/>
      <c r="D20" s="44" t="n"/>
      <c r="E20" s="44" t="n"/>
      <c r="F20" s="45" t="n"/>
      <c r="G20" s="147">
        <f>IF(OR(E20="",F20=""),"",E20*F20)</f>
        <v/>
      </c>
      <c r="H20" s="45" t="n"/>
      <c r="I20" s="44" t="n"/>
      <c r="J20" s="44" t="n"/>
      <c r="K20" s="69" t="n"/>
      <c r="L20" s="59" t="n"/>
    </row>
    <row r="21" ht="18" customHeight="1" s="128">
      <c r="B21" s="43" t="n"/>
      <c r="C21" s="44" t="n"/>
      <c r="D21" s="44" t="n"/>
      <c r="E21" s="44" t="n"/>
      <c r="F21" s="45" t="n"/>
      <c r="G21" s="147">
        <f>IF(OR(E21="",F21=""),"",E21*F21)</f>
        <v/>
      </c>
      <c r="H21" s="45" t="n"/>
      <c r="I21" s="44" t="n"/>
      <c r="J21" s="44" t="n"/>
      <c r="K21" s="69" t="n"/>
      <c r="L21" s="59" t="n"/>
    </row>
    <row r="22" ht="18" customHeight="1" s="128">
      <c r="B22" s="43" t="n"/>
      <c r="C22" s="44" t="n"/>
      <c r="D22" s="44" t="n"/>
      <c r="E22" s="44" t="n"/>
      <c r="F22" s="45" t="n"/>
      <c r="G22" s="147">
        <f>IF(OR(E22="",F22=""),"",E22*F22)</f>
        <v/>
      </c>
      <c r="H22" s="45" t="n"/>
      <c r="I22" s="44" t="n"/>
      <c r="J22" s="44" t="n"/>
      <c r="K22" s="69" t="n"/>
      <c r="L22" s="59" t="n"/>
    </row>
    <row r="23" ht="18" customHeight="1" s="128">
      <c r="B23" s="43" t="n"/>
      <c r="C23" s="44" t="n"/>
      <c r="D23" s="44" t="n"/>
      <c r="E23" s="44" t="n"/>
      <c r="F23" s="45" t="n"/>
      <c r="G23" s="147">
        <f>IF(OR(E23="",F23=""),"",E23*F23)</f>
        <v/>
      </c>
      <c r="H23" s="45" t="n"/>
      <c r="I23" s="44" t="n"/>
      <c r="J23" s="44" t="n"/>
      <c r="K23" s="69" t="n"/>
      <c r="L23" s="59" t="n"/>
    </row>
    <row r="24" ht="18" customHeight="1" s="128">
      <c r="B24" s="43" t="n"/>
      <c r="C24" s="44" t="n"/>
      <c r="D24" s="44" t="n"/>
      <c r="E24" s="44" t="n"/>
      <c r="F24" s="45" t="n"/>
      <c r="G24" s="147">
        <f>IF(OR(E24="",F24=""),"",E24*F24)</f>
        <v/>
      </c>
      <c r="H24" s="45" t="n"/>
      <c r="I24" s="44" t="n"/>
      <c r="J24" s="44" t="n"/>
      <c r="K24" s="69" t="n"/>
      <c r="L24" s="59" t="n"/>
    </row>
    <row r="25" ht="18" customHeight="1" s="128">
      <c r="B25" s="43" t="n"/>
      <c r="C25" s="44" t="n"/>
      <c r="D25" s="44" t="n"/>
      <c r="E25" s="44" t="n"/>
      <c r="F25" s="45" t="n"/>
      <c r="G25" s="147">
        <f>IF(OR(E25="",F25=""),"",E25*F25)</f>
        <v/>
      </c>
      <c r="H25" s="45" t="n"/>
      <c r="I25" s="44" t="n"/>
      <c r="J25" s="44" t="n"/>
      <c r="K25" s="69" t="n"/>
      <c r="L25" s="59" t="n"/>
    </row>
    <row r="26" ht="19.5" customHeight="1" s="128">
      <c r="B26" s="116" t="inlineStr">
        <is>
          <t>TOTAL unitate (greutate si masa reciclabila)</t>
        </is>
      </c>
      <c r="C26" s="146" t="n"/>
      <c r="D26" s="131" t="n"/>
      <c r="E26" s="148">
        <f>SUM(E18:E25)</f>
        <v/>
      </c>
      <c r="F26" s="40" t="n"/>
      <c r="G26" s="148">
        <f>SUM(G18:G25)</f>
        <v/>
      </c>
      <c r="H26" s="40" t="n"/>
      <c r="I26" s="40" t="n"/>
      <c r="J26" s="40" t="n"/>
      <c r="K26" s="40" t="n"/>
      <c r="L26" s="60" t="n"/>
      <c r="M26" s="61" t="n"/>
      <c r="N26" s="61" t="n"/>
    </row>
    <row r="27" ht="19.5" customHeight="1" s="128">
      <c r="B27" s="116" t="inlineStr">
        <is>
          <t>% reciclabil ponderat pe greutate (automat)</t>
        </is>
      </c>
      <c r="C27" s="146" t="n"/>
      <c r="D27" s="131" t="n"/>
      <c r="E27" s="149">
        <f>IFERROR(G26/E26,"-")</f>
        <v/>
      </c>
    </row>
    <row r="28" ht="30" customHeight="1" s="128">
      <c r="B28" s="116" t="inlineStr">
        <is>
          <t>Clasa de reciclabilitate calculata (A ≥95% / B ≥80% / C ≥70%)</t>
        </is>
      </c>
      <c r="C28" s="146" t="n"/>
      <c r="D28" s="131" t="n"/>
      <c r="E28" s="150">
        <f>IF(NOT(ISNUMBER(E27)),"-",IF(E27&gt;=0.95,"A",IF(E27&gt;=0.8,"B",IF(E27&gt;=0.7,"C","Sub 70% - nereciclabil"))))</f>
        <v/>
      </c>
      <c r="F28" s="146" t="n"/>
      <c r="G28" s="131" t="n"/>
    </row>
    <row r="29" ht="34.05" customHeight="1" s="128">
      <c r="B29" s="151" t="inlineStr">
        <is>
          <t>Cost total componente (EUR / 1000 buc) - suma preturilor completate (automat)</t>
        </is>
      </c>
      <c r="C29" s="146" t="n"/>
      <c r="D29" s="131" t="n"/>
      <c r="E29" s="152">
        <f>SUM(K18:K25)</f>
        <v/>
      </c>
      <c r="F29" s="146" t="n"/>
      <c r="G29" s="131" t="n"/>
      <c r="H29" s="70" t="n"/>
      <c r="I29" s="70" t="n"/>
      <c r="J29" s="70" t="n"/>
      <c r="K29" s="70" t="n"/>
      <c r="L29" s="70" t="n"/>
    </row>
    <row r="30" ht="34.05" customHeight="1" s="128">
      <c r="B30" s="151" t="inlineStr">
        <is>
          <t>Material total pus pe piata (kg/an) = greutate x volum anual (automat)</t>
        </is>
      </c>
      <c r="C30" s="146" t="n"/>
      <c r="D30" s="131" t="n"/>
      <c r="E30" s="153">
        <f>IF(OR(N(C15)=0,N(E26)=0),"-",E26*C15/1000)</f>
        <v/>
      </c>
      <c r="F30" s="146" t="n"/>
      <c r="G30" s="131" t="n"/>
      <c r="H30" s="70" t="n"/>
      <c r="I30" s="70" t="n"/>
      <c r="J30" s="70" t="n"/>
      <c r="K30" s="70" t="n"/>
      <c r="L30" s="70" t="n"/>
    </row>
    <row r="32" ht="19.5" customHeight="1" s="128">
      <c r="B32" s="35" t="inlineStr">
        <is>
          <t>4. Cerintele produsului/produselor ambalate</t>
        </is>
      </c>
      <c r="C32" s="35" t="n"/>
      <c r="D32" s="35" t="n"/>
      <c r="E32" s="36" t="n"/>
      <c r="F32" s="36" t="n"/>
      <c r="G32" s="36" t="n"/>
      <c r="H32" s="36" t="n"/>
      <c r="I32" s="36" t="n"/>
      <c r="J32" s="36" t="n"/>
      <c r="K32" s="36" t="n"/>
      <c r="L32" s="36" t="n"/>
      <c r="M32" s="51" t="n"/>
      <c r="N32" s="51" t="n"/>
    </row>
    <row r="33" ht="30" customHeight="1" s="128">
      <c r="B33" s="112" t="inlineStr">
        <is>
          <t>Daca SKU-urile din sectiunea 2 au cerinte diferite, noteaza diferentele in coloana 'Observatii' din tabelul SKU-urilor.</t>
        </is>
      </c>
      <c r="C33" s="154" t="n"/>
      <c r="D33" s="154" t="n"/>
      <c r="E33" s="154" t="n"/>
      <c r="F33" s="154" t="n"/>
      <c r="G33" s="154" t="n"/>
      <c r="H33" s="154" t="n"/>
      <c r="I33" s="154" t="n"/>
      <c r="J33" s="154" t="n"/>
      <c r="K33" s="154" t="n"/>
      <c r="L33" s="154" t="n"/>
      <c r="M33" s="82" t="n"/>
      <c r="N33" s="82" t="n"/>
    </row>
    <row r="34" ht="31.95" customHeight="1" s="128">
      <c r="B34" s="52" t="inlineStr">
        <is>
          <t>Tip produs (lichid / crema-gel / pudra / solid / altul)</t>
        </is>
      </c>
      <c r="C34" s="139" t="n"/>
      <c r="D34" s="140" t="n"/>
      <c r="E34" s="140" t="n"/>
      <c r="F34" s="140" t="n"/>
      <c r="G34" s="140" t="n"/>
      <c r="H34" s="140" t="n"/>
      <c r="I34" s="140" t="n"/>
      <c r="J34" s="140" t="n"/>
      <c r="K34" s="140" t="n"/>
      <c r="L34" s="141" t="n"/>
      <c r="M34" s="55" t="n"/>
      <c r="N34" s="55" t="n"/>
    </row>
    <row r="35" ht="46.95" customHeight="1" s="128">
      <c r="B35" s="52" t="inlineStr">
        <is>
          <t>Categorie reglementata a produsului (alimentar / farma / cosmetic / supliment / altul)</t>
        </is>
      </c>
      <c r="C35" s="145" t="n"/>
      <c r="D35" s="143" t="n"/>
      <c r="E35" s="143" t="n"/>
      <c r="F35" s="143" t="n"/>
      <c r="G35" s="143" t="n"/>
      <c r="H35" s="143" t="n"/>
      <c r="I35" s="143" t="n"/>
      <c r="J35" s="143" t="n"/>
      <c r="K35" s="143" t="n"/>
      <c r="L35" s="144" t="n"/>
      <c r="M35" s="55" t="n"/>
      <c r="N35" s="55" t="n"/>
    </row>
    <row r="36" ht="46.95" customHeight="1" s="128">
      <c r="B36" s="52" t="inlineStr">
        <is>
          <t>Functii cerute ambalajului (pompa, picurator, spray, flip-top, sigiliu, protectie copii)</t>
        </is>
      </c>
      <c r="C36" s="145" t="n"/>
      <c r="D36" s="143" t="n"/>
      <c r="E36" s="143" t="n"/>
      <c r="F36" s="143" t="n"/>
      <c r="G36" s="143" t="n"/>
      <c r="H36" s="143" t="n"/>
      <c r="I36" s="143" t="n"/>
      <c r="J36" s="143" t="n"/>
      <c r="K36" s="143" t="n"/>
      <c r="L36" s="144" t="n"/>
      <c r="M36" s="55" t="n"/>
      <c r="N36" s="55" t="n"/>
    </row>
    <row r="37" ht="30" customHeight="1" s="128">
      <c r="B37" s="52" t="inlineStr">
        <is>
          <t>Sensibilitate la oxigen</t>
        </is>
      </c>
      <c r="C37" s="139" t="n"/>
      <c r="D37" s="140" t="n"/>
      <c r="E37" s="140" t="n"/>
      <c r="F37" s="140" t="n"/>
      <c r="G37" s="140" t="n"/>
      <c r="H37" s="140" t="n"/>
      <c r="I37" s="140" t="n"/>
      <c r="J37" s="140" t="n"/>
      <c r="K37" s="140" t="n"/>
      <c r="L37" s="141" t="n"/>
      <c r="M37" s="55" t="n"/>
      <c r="N37" s="55" t="n"/>
    </row>
    <row r="38" ht="30" customHeight="1" s="128">
      <c r="B38" s="52" t="inlineStr">
        <is>
          <t>Sensibilitate la lumina / UV</t>
        </is>
      </c>
      <c r="C38" s="139" t="n"/>
      <c r="D38" s="140" t="n"/>
      <c r="E38" s="140" t="n"/>
      <c r="F38" s="140" t="n"/>
      <c r="G38" s="140" t="n"/>
      <c r="H38" s="140" t="n"/>
      <c r="I38" s="140" t="n"/>
      <c r="J38" s="140" t="n"/>
      <c r="K38" s="140" t="n"/>
      <c r="L38" s="141" t="n"/>
      <c r="M38" s="55" t="n"/>
      <c r="N38" s="55" t="n"/>
    </row>
    <row r="39" ht="30" customHeight="1" s="128">
      <c r="B39" s="52" t="inlineStr">
        <is>
          <t>Sensibilitate la umiditate</t>
        </is>
      </c>
      <c r="C39" s="139" t="n"/>
      <c r="D39" s="140" t="n"/>
      <c r="E39" s="140" t="n"/>
      <c r="F39" s="140" t="n"/>
      <c r="G39" s="140" t="n"/>
      <c r="H39" s="140" t="n"/>
      <c r="I39" s="140" t="n"/>
      <c r="J39" s="140" t="n"/>
      <c r="K39" s="140" t="n"/>
      <c r="L39" s="141" t="n"/>
      <c r="M39" s="55" t="n"/>
      <c r="N39" s="55" t="n"/>
    </row>
    <row r="40" ht="31.95" customHeight="1" s="128">
      <c r="B40" s="52" t="inlineStr">
        <is>
          <t>Compatibilitate chimica necesara (grasimi, alcool, acizi, uleiuri)</t>
        </is>
      </c>
      <c r="C40" s="139" t="n"/>
      <c r="D40" s="140" t="n"/>
      <c r="E40" s="140" t="n"/>
      <c r="F40" s="140" t="n"/>
      <c r="G40" s="140" t="n"/>
      <c r="H40" s="140" t="n"/>
      <c r="I40" s="140" t="n"/>
      <c r="J40" s="140" t="n"/>
      <c r="K40" s="140" t="n"/>
      <c r="L40" s="141" t="n"/>
      <c r="M40" s="55" t="n"/>
      <c r="N40" s="55" t="n"/>
    </row>
    <row r="41" ht="30" customHeight="1" s="128">
      <c r="B41" s="52" t="inlineStr">
        <is>
          <t>Temperatura de umplere</t>
        </is>
      </c>
      <c r="C41" s="139" t="n"/>
      <c r="D41" s="140" t="n"/>
      <c r="E41" s="140" t="n"/>
      <c r="F41" s="140" t="n"/>
      <c r="G41" s="140" t="n"/>
      <c r="H41" s="140" t="n"/>
      <c r="I41" s="140" t="n"/>
      <c r="J41" s="140" t="n"/>
      <c r="K41" s="140" t="n"/>
      <c r="L41" s="141" t="n"/>
      <c r="M41" s="55" t="n"/>
      <c r="N41" s="55" t="n"/>
    </row>
    <row r="42" ht="30" customHeight="1" s="128">
      <c r="B42" s="52" t="inlineStr">
        <is>
          <t>Temperatura / conditii de depozitare</t>
        </is>
      </c>
      <c r="C42" s="139" t="n"/>
      <c r="D42" s="140" t="n"/>
      <c r="E42" s="140" t="n"/>
      <c r="F42" s="140" t="n"/>
      <c r="G42" s="140" t="n"/>
      <c r="H42" s="140" t="n"/>
      <c r="I42" s="140" t="n"/>
      <c r="J42" s="140" t="n"/>
      <c r="K42" s="140" t="n"/>
      <c r="L42" s="141" t="n"/>
      <c r="M42" s="55" t="n"/>
      <c r="N42" s="55" t="n"/>
    </row>
    <row r="43" ht="30" customHeight="1" s="128">
      <c r="B43" s="52" t="inlineStr">
        <is>
          <t>Valabilitate / shelf-life dorita</t>
        </is>
      </c>
      <c r="C43" s="142" t="n"/>
      <c r="D43" s="143" t="n"/>
      <c r="E43" s="143" t="n"/>
      <c r="F43" s="143" t="n"/>
      <c r="G43" s="143" t="n"/>
      <c r="H43" s="143" t="n"/>
      <c r="I43" s="143" t="n"/>
      <c r="J43" s="143" t="n"/>
      <c r="K43" s="143" t="n"/>
      <c r="L43" s="144" t="n"/>
      <c r="M43" s="55" t="n"/>
      <c r="N43" s="55" t="n"/>
    </row>
    <row r="45" ht="19.5" customHeight="1" s="128">
      <c r="B45" s="35" t="inlineStr">
        <is>
          <t>5. Procesul de ambalare si utilajele clientului</t>
        </is>
      </c>
      <c r="C45" s="35" t="n"/>
      <c r="D45" s="35" t="n"/>
      <c r="E45" s="36" t="n"/>
      <c r="F45" s="36" t="n"/>
      <c r="G45" s="36" t="n"/>
      <c r="H45" s="36" t="n"/>
      <c r="I45" s="36" t="n"/>
      <c r="J45" s="36" t="n"/>
      <c r="K45" s="36" t="n"/>
      <c r="L45" s="36" t="n"/>
      <c r="M45" s="51" t="n"/>
      <c r="N45" s="51" t="n"/>
    </row>
    <row r="46" ht="31.95" customHeight="1" s="128">
      <c r="B46" s="52" t="inlineStr">
        <is>
          <t>Tip linie de ambalare (automata / semi-automata / manuala)</t>
        </is>
      </c>
      <c r="C46" s="139" t="n"/>
      <c r="D46" s="140" t="n"/>
      <c r="E46" s="140" t="n"/>
      <c r="F46" s="140" t="n"/>
      <c r="G46" s="140" t="n"/>
      <c r="H46" s="140" t="n"/>
      <c r="I46" s="140" t="n"/>
      <c r="J46" s="140" t="n"/>
      <c r="K46" s="140" t="n"/>
      <c r="L46" s="141" t="n"/>
      <c r="M46" s="55" t="n"/>
      <c r="N46" s="55" t="n"/>
    </row>
    <row r="47" ht="30" customHeight="1" s="128">
      <c r="B47" s="52" t="inlineStr">
        <is>
          <t>Viteza linie (buc/min)</t>
        </is>
      </c>
      <c r="C47" s="139" t="n"/>
      <c r="D47" s="140" t="n"/>
      <c r="E47" s="140" t="n"/>
      <c r="F47" s="140" t="n"/>
      <c r="G47" s="140" t="n"/>
      <c r="H47" s="140" t="n"/>
      <c r="I47" s="140" t="n"/>
      <c r="J47" s="140" t="n"/>
      <c r="K47" s="140" t="n"/>
      <c r="L47" s="141" t="n"/>
      <c r="M47" s="55" t="n"/>
      <c r="N47" s="55" t="n"/>
    </row>
    <row r="48" ht="31.95" customHeight="1" s="128">
      <c r="B48" s="52" t="inlineStr">
        <is>
          <t>Tip umplere (volumetrica, la rece/cald, aseptica)</t>
        </is>
      </c>
      <c r="C48" s="139" t="n"/>
      <c r="D48" s="140" t="n"/>
      <c r="E48" s="140" t="n"/>
      <c r="F48" s="140" t="n"/>
      <c r="G48" s="140" t="n"/>
      <c r="H48" s="140" t="n"/>
      <c r="I48" s="140" t="n"/>
      <c r="J48" s="140" t="n"/>
      <c r="K48" s="140" t="n"/>
      <c r="L48" s="141" t="n"/>
      <c r="M48" s="55" t="n"/>
      <c r="N48" s="55" t="n"/>
    </row>
    <row r="49" ht="31.95" customHeight="1" s="128">
      <c r="B49" s="52" t="inlineStr">
        <is>
          <t>Tip inchidere folosit pe linie (infoliere, capsare, presare, inductie)</t>
        </is>
      </c>
      <c r="C49" s="139" t="n"/>
      <c r="D49" s="140" t="n"/>
      <c r="E49" s="140" t="n"/>
      <c r="F49" s="140" t="n"/>
      <c r="G49" s="140" t="n"/>
      <c r="H49" s="140" t="n"/>
      <c r="I49" s="140" t="n"/>
      <c r="J49" s="140" t="n"/>
      <c r="K49" s="140" t="n"/>
      <c r="L49" s="141" t="n"/>
      <c r="M49" s="55" t="n"/>
      <c r="N49" s="55" t="n"/>
    </row>
    <row r="50" ht="31.95" customHeight="1" s="128">
      <c r="B50" s="52" t="inlineStr">
        <is>
          <t>Cod gat / finisaj compatibil cu echipamentul existent</t>
        </is>
      </c>
      <c r="C50" s="139" t="n"/>
      <c r="D50" s="140" t="n"/>
      <c r="E50" s="140" t="n"/>
      <c r="F50" s="140" t="n"/>
      <c r="G50" s="140" t="n"/>
      <c r="H50" s="140" t="n"/>
      <c r="I50" s="140" t="n"/>
      <c r="J50" s="140" t="n"/>
      <c r="K50" s="140" t="n"/>
      <c r="L50" s="141" t="n"/>
      <c r="M50" s="55" t="n"/>
      <c r="N50" s="55" t="n"/>
    </row>
    <row r="51" ht="31.95" customHeight="1" s="128">
      <c r="B51" s="52" t="inlineStr">
        <is>
          <t>Tip etichetare folosit (aplicator rece/cald, sleeve, manual)</t>
        </is>
      </c>
      <c r="C51" s="139" t="n"/>
      <c r="D51" s="140" t="n"/>
      <c r="E51" s="140" t="n"/>
      <c r="F51" s="140" t="n"/>
      <c r="G51" s="140" t="n"/>
      <c r="H51" s="140" t="n"/>
      <c r="I51" s="140" t="n"/>
      <c r="J51" s="140" t="n"/>
      <c r="K51" s="140" t="n"/>
      <c r="L51" s="141" t="n"/>
      <c r="M51" s="55" t="n"/>
      <c r="N51" s="55" t="n"/>
    </row>
    <row r="52" ht="30" customHeight="1" s="128">
      <c r="B52" s="52" t="inlineStr">
        <is>
          <t>Ambalaj secundar / paletizare</t>
        </is>
      </c>
      <c r="C52" s="139" t="n"/>
      <c r="D52" s="140" t="n"/>
      <c r="E52" s="140" t="n"/>
      <c r="F52" s="140" t="n"/>
      <c r="G52" s="140" t="n"/>
      <c r="H52" s="140" t="n"/>
      <c r="I52" s="140" t="n"/>
      <c r="J52" s="140" t="n"/>
      <c r="K52" s="140" t="n"/>
      <c r="L52" s="141" t="n"/>
      <c r="M52" s="55" t="n"/>
      <c r="N52" s="55" t="n"/>
    </row>
    <row r="53" ht="31.95" customHeight="1" s="128">
      <c r="B53" s="52" t="inlineStr">
        <is>
          <t>Limitari cunoscute ale liniei (greutate maxima, diametru, inaltime)</t>
        </is>
      </c>
      <c r="C53" s="142" t="n"/>
      <c r="D53" s="143" t="n"/>
      <c r="E53" s="143" t="n"/>
      <c r="F53" s="143" t="n"/>
      <c r="G53" s="143" t="n"/>
      <c r="H53" s="143" t="n"/>
      <c r="I53" s="143" t="n"/>
      <c r="J53" s="143" t="n"/>
      <c r="K53" s="143" t="n"/>
      <c r="L53" s="144" t="n"/>
      <c r="M53" s="55" t="n"/>
      <c r="N53" s="55" t="n"/>
    </row>
    <row r="55" ht="19.5" customHeight="1" s="128">
      <c r="B55" s="35" t="inlineStr">
        <is>
          <t>6. Analiza de risc si conformitate PPWR — completata de MIRALEDO, impreuna cu clientul</t>
        </is>
      </c>
      <c r="C55" s="35" t="n"/>
      <c r="D55" s="35" t="n"/>
      <c r="E55" s="36" t="n"/>
      <c r="F55" s="36" t="n"/>
      <c r="G55" s="36" t="n"/>
      <c r="H55" s="36" t="n"/>
      <c r="I55" s="36" t="n"/>
      <c r="J55" s="36" t="n"/>
      <c r="K55" s="36" t="n"/>
      <c r="L55" s="36" t="n"/>
      <c r="M55" s="51" t="n"/>
      <c r="N55" s="51" t="n"/>
    </row>
    <row r="56" ht="30" customHeight="1" s="128">
      <c r="B56" s="112" t="inlineStr">
        <is>
          <t>Evaluare comerciala interna MIRALEDO a ambalajului ACTUAL. Nu reprezinta o certificare oficiala PPWR (nu exista asa ceva) - clasa de la sectiunea 3 e calculata din datele introduse pentru fiecare componenta.</t>
        </is>
      </c>
      <c r="C56" s="154" t="n"/>
      <c r="D56" s="154" t="n"/>
      <c r="E56" s="154" t="n"/>
      <c r="F56" s="154" t="n"/>
      <c r="G56" s="154" t="n"/>
      <c r="H56" s="154" t="n"/>
      <c r="I56" s="154" t="n"/>
      <c r="J56" s="154" t="n"/>
      <c r="K56" s="154" t="n"/>
      <c r="L56" s="154" t="n"/>
      <c r="M56" s="82" t="n"/>
      <c r="N56" s="82" t="n"/>
    </row>
    <row r="57" ht="31.95" customHeight="1" s="128">
      <c r="B57" s="52" t="inlineStr">
        <is>
          <t>Testare substante restrictionate (PFAS etc.) efectuata?</t>
        </is>
      </c>
      <c r="C57" s="139" t="n"/>
      <c r="D57" s="140" t="n"/>
      <c r="E57" s="140" t="n"/>
      <c r="F57" s="140" t="n"/>
      <c r="G57" s="140" t="n"/>
      <c r="H57" s="140" t="n"/>
      <c r="I57" s="140" t="n"/>
      <c r="J57" s="140" t="n"/>
      <c r="K57" s="140" t="n"/>
      <c r="L57" s="141" t="n"/>
      <c r="M57" s="55" t="n"/>
      <c r="N57" s="55" t="n"/>
    </row>
    <row r="58" ht="45" customHeight="1" s="128">
      <c r="B58" s="52" t="inlineStr">
        <is>
          <t>Documentatie de conformitate disponibila (documentatie tehnica - Anexa VII; declaratie UE - Anexa VIII)</t>
        </is>
      </c>
      <c r="C58" s="139" t="n"/>
      <c r="D58" s="140" t="n"/>
      <c r="E58" s="140" t="n"/>
      <c r="F58" s="140" t="n"/>
      <c r="G58" s="140" t="n"/>
      <c r="H58" s="140" t="n"/>
      <c r="I58" s="140" t="n"/>
      <c r="J58" s="140" t="n"/>
      <c r="K58" s="140" t="n"/>
      <c r="L58" s="141" t="n"/>
      <c r="M58" s="55" t="n"/>
      <c r="N58" s="55" t="n"/>
    </row>
    <row r="59" ht="31.95" customHeight="1" s="128">
      <c r="B59" s="52" t="inlineStr">
        <is>
          <t>Expunere la restrictii de format PPWR (Anexa V)</t>
        </is>
      </c>
      <c r="C59" s="139" t="n"/>
      <c r="D59" s="140" t="n"/>
      <c r="E59" s="140" t="n"/>
      <c r="F59" s="140" t="n"/>
      <c r="G59" s="140" t="n"/>
      <c r="H59" s="140" t="n"/>
      <c r="I59" s="140" t="n"/>
      <c r="J59" s="140" t="n"/>
      <c r="K59" s="140" t="n"/>
      <c r="L59" s="141" t="n"/>
      <c r="M59" s="55" t="n"/>
      <c r="N59" s="55" t="n"/>
    </row>
    <row r="60" ht="31.95" customHeight="1" s="128">
      <c r="B60" s="52" t="inlineStr">
        <is>
          <t>Aplicabilitate obligatii reutilizare / reumplere (2027-2030)</t>
        </is>
      </c>
      <c r="C60" s="139" t="n"/>
      <c r="D60" s="140" t="n"/>
      <c r="E60" s="140" t="n"/>
      <c r="F60" s="140" t="n"/>
      <c r="G60" s="140" t="n"/>
      <c r="H60" s="140" t="n"/>
      <c r="I60" s="140" t="n"/>
      <c r="J60" s="140" t="n"/>
      <c r="K60" s="140" t="n"/>
      <c r="L60" s="141" t="n"/>
      <c r="M60" s="55" t="n"/>
      <c r="N60" s="55" t="n"/>
    </row>
    <row r="61" ht="31.95" customHeight="1" s="128">
      <c r="B61" s="52" t="inlineStr">
        <is>
          <t>Nivel de risc PPWR (Ridicat / Mediu / Scazut)</t>
        </is>
      </c>
      <c r="C61" s="139" t="n"/>
      <c r="D61" s="140" t="n"/>
      <c r="E61" s="140" t="n"/>
      <c r="F61" s="140" t="n"/>
      <c r="G61" s="140" t="n"/>
      <c r="H61" s="140" t="n"/>
      <c r="I61" s="140" t="n"/>
      <c r="J61" s="140" t="n"/>
      <c r="K61" s="140" t="n"/>
      <c r="L61" s="141" t="n"/>
      <c r="M61" s="55" t="n"/>
      <c r="N61" s="55" t="n"/>
    </row>
    <row r="62" ht="30" customHeight="1" s="128">
      <c r="B62" s="52" t="inlineStr">
        <is>
          <t>Motivatie risc identificat</t>
        </is>
      </c>
      <c r="C62" s="139" t="n"/>
      <c r="D62" s="140" t="n"/>
      <c r="E62" s="140" t="n"/>
      <c r="F62" s="140" t="n"/>
      <c r="G62" s="140" t="n"/>
      <c r="H62" s="140" t="n"/>
      <c r="I62" s="140" t="n"/>
      <c r="J62" s="140" t="n"/>
      <c r="K62" s="140" t="n"/>
      <c r="L62" s="141" t="n"/>
      <c r="M62" s="55" t="n"/>
      <c r="N62" s="55" t="n"/>
    </row>
    <row r="63" ht="31.95" customHeight="1" s="128">
      <c r="B63" s="52" t="inlineStr">
        <is>
          <t>Oportunitati de imbunatatire propuse de MIRALEDO</t>
        </is>
      </c>
      <c r="C63" s="139" t="n"/>
      <c r="D63" s="140" t="n"/>
      <c r="E63" s="140" t="n"/>
      <c r="F63" s="140" t="n"/>
      <c r="G63" s="140" t="n"/>
      <c r="H63" s="140" t="n"/>
      <c r="I63" s="140" t="n"/>
      <c r="J63" s="140" t="n"/>
      <c r="K63" s="140" t="n"/>
      <c r="L63" s="141" t="n"/>
      <c r="M63" s="55" t="n"/>
      <c r="N63" s="55" t="n"/>
    </row>
    <row r="64" ht="31.95" customHeight="1" s="128">
      <c r="B64" s="52" t="inlineStr">
        <is>
          <t>Beneficiu estimat (cost EPR, conformitate, imagine)</t>
        </is>
      </c>
      <c r="C64" s="139" t="n"/>
      <c r="D64" s="140" t="n"/>
      <c r="E64" s="140" t="n"/>
      <c r="F64" s="140" t="n"/>
      <c r="G64" s="140" t="n"/>
      <c r="H64" s="140" t="n"/>
      <c r="I64" s="140" t="n"/>
      <c r="J64" s="140" t="n"/>
      <c r="K64" s="140" t="n"/>
      <c r="L64" s="141" t="n"/>
      <c r="M64" s="55" t="n"/>
      <c r="N64" s="55" t="n"/>
    </row>
    <row r="65" ht="30" customHeight="1" s="128">
      <c r="B65" s="52" t="inlineStr">
        <is>
          <t>Termen legal relevant / urgenta</t>
        </is>
      </c>
      <c r="C65" s="142" t="n"/>
      <c r="D65" s="143" t="n"/>
      <c r="E65" s="143" t="n"/>
      <c r="F65" s="143" t="n"/>
      <c r="G65" s="143" t="n"/>
      <c r="H65" s="143" t="n"/>
      <c r="I65" s="143" t="n"/>
      <c r="J65" s="143" t="n"/>
      <c r="K65" s="143" t="n"/>
      <c r="L65" s="144" t="n"/>
      <c r="M65" s="55" t="n"/>
      <c r="N65" s="55" t="n"/>
    </row>
    <row r="67" ht="19.5" customHeight="1" s="128">
      <c r="B67" s="35" t="inlineStr">
        <is>
          <t>7. Comercial si pasi urmatori — sectiune interna MIRALEDO</t>
        </is>
      </c>
      <c r="C67" s="35" t="n"/>
      <c r="D67" s="35" t="n"/>
      <c r="E67" s="36" t="n"/>
      <c r="F67" s="36" t="n"/>
      <c r="G67" s="36" t="n"/>
      <c r="H67" s="36" t="n"/>
      <c r="I67" s="36" t="n"/>
      <c r="J67" s="36" t="n"/>
      <c r="K67" s="36" t="n"/>
      <c r="L67" s="36" t="n"/>
      <c r="M67" s="51" t="n"/>
      <c r="N67" s="51" t="n"/>
    </row>
    <row r="68" ht="30" customHeight="1" s="128">
      <c r="B68" s="52" t="inlineStr">
        <is>
          <t>Pret tinta client (unitate completa, EUR / 1000 buc)</t>
        </is>
      </c>
      <c r="C68" s="139" t="n"/>
      <c r="D68" s="140" t="n"/>
      <c r="E68" s="140" t="n"/>
      <c r="F68" s="140" t="n"/>
      <c r="G68" s="140" t="n"/>
      <c r="H68" s="140" t="n"/>
      <c r="I68" s="140" t="n"/>
      <c r="J68" s="140" t="n"/>
      <c r="K68" s="140" t="n"/>
      <c r="L68" s="141" t="n"/>
      <c r="M68" s="55" t="n"/>
      <c r="N68" s="55" t="n"/>
    </row>
    <row r="69" ht="30" customHeight="1" s="128">
      <c r="B69" s="52" t="inlineStr">
        <is>
          <t>Conditii de livrare (Incoterms)</t>
        </is>
      </c>
      <c r="C69" s="139" t="n"/>
      <c r="D69" s="140" t="n"/>
      <c r="E69" s="140" t="n"/>
      <c r="F69" s="140" t="n"/>
      <c r="G69" s="140" t="n"/>
      <c r="H69" s="140" t="n"/>
      <c r="I69" s="140" t="n"/>
      <c r="J69" s="140" t="n"/>
      <c r="K69" s="140" t="n"/>
      <c r="L69" s="141" t="n"/>
      <c r="M69" s="55" t="n"/>
      <c r="N69" s="55" t="n"/>
    </row>
    <row r="70" ht="31.95" customHeight="1" s="128">
      <c r="B70" s="52" t="inlineStr">
        <is>
          <t>Problema / nevoie identificata la client</t>
        </is>
      </c>
      <c r="C70" s="139" t="n"/>
      <c r="D70" s="140" t="n"/>
      <c r="E70" s="140" t="n"/>
      <c r="F70" s="140" t="n"/>
      <c r="G70" s="140" t="n"/>
      <c r="H70" s="140" t="n"/>
      <c r="I70" s="140" t="n"/>
      <c r="J70" s="140" t="n"/>
      <c r="K70" s="140" t="n"/>
      <c r="L70" s="141" t="n"/>
      <c r="M70" s="55" t="n"/>
      <c r="N70" s="55" t="n"/>
    </row>
    <row r="71" ht="31.95" customHeight="1" s="128">
      <c r="B71" s="52" t="inlineStr">
        <is>
          <t>Stadiu pipeline (vezi Sales Pipeline CRM)</t>
        </is>
      </c>
      <c r="C71" s="139" t="n"/>
      <c r="D71" s="140" t="n"/>
      <c r="E71" s="140" t="n"/>
      <c r="F71" s="140" t="n"/>
      <c r="G71" s="140" t="n"/>
      <c r="H71" s="140" t="n"/>
      <c r="I71" s="140" t="n"/>
      <c r="J71" s="140" t="n"/>
      <c r="K71" s="140" t="n"/>
      <c r="L71" s="141" t="n"/>
      <c r="M71" s="55" t="n"/>
      <c r="N71" s="55" t="n"/>
    </row>
    <row r="72" ht="30" customHeight="1" s="128">
      <c r="B72" s="52" t="inlineStr">
        <is>
          <t>Urmatoarea actiune</t>
        </is>
      </c>
      <c r="C72" s="139" t="n"/>
      <c r="D72" s="140" t="n"/>
      <c r="E72" s="140" t="n"/>
      <c r="F72" s="140" t="n"/>
      <c r="G72" s="140" t="n"/>
      <c r="H72" s="140" t="n"/>
      <c r="I72" s="140" t="n"/>
      <c r="J72" s="140" t="n"/>
      <c r="K72" s="140" t="n"/>
      <c r="L72" s="141" t="n"/>
      <c r="M72" s="55" t="n"/>
      <c r="N72" s="55" t="n"/>
    </row>
    <row r="73" ht="30" customHeight="1" s="128">
      <c r="B73" s="52" t="inlineStr">
        <is>
          <t>Data urmatorului follow-up</t>
        </is>
      </c>
      <c r="C73" s="142" t="n"/>
      <c r="D73" s="143" t="n"/>
      <c r="E73" s="143" t="n"/>
      <c r="F73" s="143" t="n"/>
      <c r="G73" s="143" t="n"/>
      <c r="H73" s="143" t="n"/>
      <c r="I73" s="143" t="n"/>
      <c r="J73" s="143" t="n"/>
      <c r="K73" s="143" t="n"/>
      <c r="L73" s="144" t="n"/>
      <c r="M73" s="55" t="n"/>
      <c r="N73" s="55" t="n"/>
    </row>
    <row r="76" ht="18" customHeight="1" s="128">
      <c r="B76" s="54" t="inlineStr">
        <is>
          <t>Observatii</t>
        </is>
      </c>
      <c r="C76" s="155" t="n"/>
      <c r="D76" s="140" t="n"/>
      <c r="E76" s="140" t="n"/>
      <c r="F76" s="140" t="n"/>
      <c r="G76" s="140" t="n"/>
      <c r="H76" s="140" t="n"/>
      <c r="I76" s="140" t="n"/>
      <c r="J76" s="140" t="n"/>
      <c r="K76" s="140" t="n"/>
      <c r="L76" s="141" t="n"/>
      <c r="M76" s="4" t="n"/>
      <c r="N76" s="4" t="n"/>
    </row>
    <row r="77" ht="18" customHeight="1" s="128">
      <c r="C77" s="156" t="n"/>
      <c r="D77" s="157" t="n"/>
      <c r="E77" s="157" t="n"/>
      <c r="F77" s="157" t="n"/>
      <c r="G77" s="157" t="n"/>
      <c r="H77" s="157" t="n"/>
      <c r="I77" s="157" t="n"/>
      <c r="J77" s="157" t="n"/>
      <c r="K77" s="157" t="n"/>
      <c r="L77" s="158" t="n"/>
      <c r="M77" s="4" t="n"/>
      <c r="N77" s="4" t="n"/>
    </row>
    <row r="78" ht="18" customHeight="1" s="128">
      <c r="C78" s="159" t="n"/>
      <c r="D78" s="160" t="n"/>
      <c r="E78" s="160" t="n"/>
      <c r="F78" s="160" t="n"/>
      <c r="G78" s="160" t="n"/>
      <c r="H78" s="160" t="n"/>
      <c r="I78" s="160" t="n"/>
      <c r="J78" s="160" t="n"/>
      <c r="K78" s="160" t="n"/>
      <c r="L78" s="161" t="n"/>
      <c r="M78" s="4" t="n"/>
      <c r="N78" s="4" t="n"/>
    </row>
  </sheetData>
  <sheetProtection selectLockedCells="0" selectUnlockedCells="0" sheet="1" objects="1" insertRows="1" insertHyperlinks="1" autoFilter="1" scenarios="1" formatColumns="0" deleteColumns="1" insertColumns="1" pivotTables="1" deleteRows="1" formatCells="1" formatRows="0" sort="1"/>
  <mergeCells count="54">
    <mergeCell ref="C71:L71"/>
    <mergeCell ref="E12:L12"/>
    <mergeCell ref="E28:G28"/>
    <mergeCell ref="C61:L61"/>
    <mergeCell ref="C39:L39"/>
    <mergeCell ref="C52:L52"/>
    <mergeCell ref="C70:L70"/>
    <mergeCell ref="C8:L8"/>
    <mergeCell ref="C48:L48"/>
    <mergeCell ref="C7:L7"/>
    <mergeCell ref="E14:L14"/>
    <mergeCell ref="E30:G30"/>
    <mergeCell ref="C76:L78"/>
    <mergeCell ref="B29:D29"/>
    <mergeCell ref="C38:L38"/>
    <mergeCell ref="C72:L72"/>
    <mergeCell ref="B56:L56"/>
    <mergeCell ref="C57:L57"/>
    <mergeCell ref="C37:L37"/>
    <mergeCell ref="B28:D28"/>
    <mergeCell ref="C53:L53"/>
    <mergeCell ref="C69:L69"/>
    <mergeCell ref="C49:L49"/>
    <mergeCell ref="E10:L10"/>
    <mergeCell ref="C68:L68"/>
    <mergeCell ref="C34:L34"/>
    <mergeCell ref="B30:D30"/>
    <mergeCell ref="E13:L13"/>
    <mergeCell ref="C6:L6"/>
    <mergeCell ref="C62:L62"/>
    <mergeCell ref="C42:L42"/>
    <mergeCell ref="C58:L58"/>
    <mergeCell ref="C5:L5"/>
    <mergeCell ref="C73:L73"/>
    <mergeCell ref="C4:L4"/>
    <mergeCell ref="C64:L64"/>
    <mergeCell ref="E11:L11"/>
    <mergeCell ref="B26:D26"/>
    <mergeCell ref="C35:L35"/>
    <mergeCell ref="C63:L63"/>
    <mergeCell ref="C65:L65"/>
    <mergeCell ref="C47:L47"/>
    <mergeCell ref="C50:L50"/>
    <mergeCell ref="C41:L41"/>
    <mergeCell ref="C40:L40"/>
    <mergeCell ref="B33:L33"/>
    <mergeCell ref="B27:D27"/>
    <mergeCell ref="C59:L59"/>
    <mergeCell ref="C43:L43"/>
    <mergeCell ref="C51:L51"/>
    <mergeCell ref="C46:L46"/>
    <mergeCell ref="E29:G29"/>
    <mergeCell ref="C60:L60"/>
    <mergeCell ref="C36:L36"/>
  </mergeCells>
  <dataValidations count="6">
    <dataValidation sqref="E18:E25" showDropDown="0" showInputMessage="1" showErrorMessage="1" allowBlank="1" errorTitle="Valoare invalida" error="Greutatea se scrie in grame, ca numar pozitiv (ex: 12 sau 1,5)." type="decimal">
      <formula1>0</formula1>
      <formula2>100000</formula2>
    </dataValidation>
    <dataValidation sqref="F18:F25" showDropDown="0" showInputMessage="1" showErrorMessage="1" allowBlank="1" errorTitle="Valoare invalida" error="Scrieti un procent intre 0% si 100% (ex: 60%)." type="decimal">
      <formula1>0</formula1>
      <formula2>1</formula2>
    </dataValidation>
    <dataValidation sqref="H18:H25" showDropDown="0" showInputMessage="1" showErrorMessage="1" allowBlank="1" errorTitle="Valoare invalida" error="Scrieti un procent intre 0% si 100% (ex: 30%)." type="decimal">
      <formula1>0</formula1>
      <formula2>1</formula2>
    </dataValidation>
    <dataValidation sqref="C11:C14" showDropDown="0" showInputMessage="1" showErrorMessage="1" allowBlank="1" errorTitle="Valoare invalida" error="Scrieti volumul anual ca numar (buc/an), fara text." type="decimal" operator="greaterThanOrEqual">
      <formula1>0</formula1>
    </dataValidation>
    <dataValidation sqref="C35" showDropDown="0" showInputMessage="1" showErrorMessage="1" allowBlank="1" errorTitle="Valoare invalida" error="Valoarea nu este in lista. Puteti continua daca este intentionat." type="list" errorStyle="information">
      <formula1>"Alimentar,Farma,Cosmetic,Supliment alimentar,Altul"</formula1>
    </dataValidation>
    <dataValidation sqref="K18:K25" showDropDown="0" showInputMessage="1" showErrorMessage="1" allowBlank="1" errorTitle="Valoare invalida" error="Scrieti pretul ca numar in EUR / 1000 buc (ex: 300)." type="decimal" operator="greaterThanOrEqual">
      <formula1>0</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2026-10-12T11:45:17Z</dcterms:created>
  <dcterms:modified xmlns:dcterms="http://purl.org/dc/terms/" xmlns:xsi="http://www.w3.org/2001/XMLSchema-instance" xsi:type="dcterms:W3CDTF">2026-10-28T17:39:22Z</dcterms:modified>
  <cp:lastModifiedBy>Piotr Bocancea</cp:lastModifiedBy>
  <cp:revision>0</cp:revision>
</cp:coreProperties>
</file>